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793" documentId="13_ncr:1_{F6FB8493-C10E-4441-BF9C-9911668C966C}" xr6:coauthVersionLast="47" xr6:coauthVersionMax="47" xr10:uidLastSave="{F96EB774-1E77-4E1C-A2BF-0F1C4139733E}"/>
  <bookViews>
    <workbookView xWindow="-108" yWindow="-108" windowWidth="23256" windowHeight="12456" activeTab="4" xr2:uid="{00000000-000D-0000-FFFF-FFFF00000000}"/>
  </bookViews>
  <sheets>
    <sheet name="Classes" sheetId="1" r:id="rId1"/>
    <sheet name="SWRL" sheetId="2" r:id="rId2"/>
    <sheet name="BaseLines" sheetId="3" r:id="rId3"/>
    <sheet name="Master DataLoads" sheetId="5" r:id="rId4"/>
    <sheet name="Load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H150" i="1"/>
  <c r="E150" i="1"/>
</calcChain>
</file>

<file path=xl/sharedStrings.xml><?xml version="1.0" encoding="utf-8"?>
<sst xmlns="http://schemas.openxmlformats.org/spreadsheetml/2006/main" count="718" uniqueCount="415">
  <si>
    <t>Livestock</t>
  </si>
  <si>
    <t>Object Properties</t>
  </si>
  <si>
    <t>Data Properties</t>
  </si>
  <si>
    <t>isAttachedToDevice(Device)</t>
  </si>
  <si>
    <t>hasCurrentLocation(Location)</t>
  </si>
  <si>
    <t>isOwnedBy(Farmer)</t>
  </si>
  <si>
    <t>Device</t>
  </si>
  <si>
    <t>isAttachedToLivestock(Device)</t>
  </si>
  <si>
    <t>generatesData(SensorData)</t>
  </si>
  <si>
    <t>DataTransmission</t>
  </si>
  <si>
    <t>CloudServices</t>
  </si>
  <si>
    <t>SensorData</t>
  </si>
  <si>
    <t>isStoredIn(Database)</t>
  </si>
  <si>
    <t>Database</t>
  </si>
  <si>
    <t>storeData(SensorData)</t>
  </si>
  <si>
    <t>Location</t>
  </si>
  <si>
    <t>isCurrentLocationOf(Device, Livestock)</t>
  </si>
  <si>
    <t>hasPartLocation(Location)</t>
  </si>
  <si>
    <t>Participant</t>
  </si>
  <si>
    <t>hasAccessTo(SoftwareApplication)</t>
  </si>
  <si>
    <t>usesFarm(Farm)</t>
  </si>
  <si>
    <t>isOwnerOfLivestock(Livestock)</t>
  </si>
  <si>
    <t>#</t>
  </si>
  <si>
    <t>Behaviour</t>
  </si>
  <si>
    <t>hasCurrentBehaviourState(BehaviourState)</t>
  </si>
  <si>
    <t>BehaviourState</t>
  </si>
  <si>
    <t>transitionsTo(AbnormalState)</t>
  </si>
  <si>
    <t>isCharacterisedBy(LivestockIndicator)</t>
  </si>
  <si>
    <t>DetectionMethod</t>
  </si>
  <si>
    <t>isImplementedBy(SoftwareApplication)</t>
  </si>
  <si>
    <t>detects(LivestockIndicator)</t>
  </si>
  <si>
    <t>triggers(LivestockEvent)</t>
  </si>
  <si>
    <t>LivestockIndicator</t>
  </si>
  <si>
    <t>LivestockEvent</t>
  </si>
  <si>
    <t>isValidatedBy(Famer,Participant)</t>
  </si>
  <si>
    <t>SoftwareApplication</t>
  </si>
  <si>
    <t>analyses(Database)</t>
  </si>
  <si>
    <t>implements(DetectionMethod)</t>
  </si>
  <si>
    <t>notifies(Farmer)</t>
  </si>
  <si>
    <t>Algorithm</t>
  </si>
  <si>
    <t>Core Class</t>
  </si>
  <si>
    <t>EnvironmentalCondition</t>
  </si>
  <si>
    <t>isContextOf(BehaviourState)</t>
  </si>
  <si>
    <t>HealthCondition</t>
  </si>
  <si>
    <t>☑</t>
  </si>
  <si>
    <t>Checked</t>
  </si>
  <si>
    <t>receivesDataFrom(DataTransmission)</t>
  </si>
  <si>
    <t>hasCloudService(CloudService)</t>
  </si>
  <si>
    <t>hostsDatabase(Database)</t>
  </si>
  <si>
    <t>isStoredOn(CloudService)</t>
  </si>
  <si>
    <t>isDeployedOn(CloudService)</t>
  </si>
  <si>
    <t>uses(Algorithm)</t>
  </si>
  <si>
    <t>executesApplication(SoftwareApplication)</t>
  </si>
  <si>
    <t>isAnalysedBy(DetectionMethod)</t>
  </si>
  <si>
    <t>isAccessedBy(SoftwareApplication)</t>
  </si>
  <si>
    <t>accesses(Database)</t>
  </si>
  <si>
    <t>isRecordedIn(Database)</t>
  </si>
  <si>
    <t>StatusUpdateEvent</t>
  </si>
  <si>
    <t>RoutineLogEvent</t>
  </si>
  <si>
    <t>isUsedBy(DetectionMethod)</t>
  </si>
  <si>
    <t>isUsedByFarmer(Participant)</t>
  </si>
  <si>
    <t>isMonitoredByDevice(Device)</t>
  </si>
  <si>
    <t>isNotifiedBySoftwareApp(SoftwareApplication)</t>
  </si>
  <si>
    <t>Rulename</t>
  </si>
  <si>
    <t>Description</t>
  </si>
  <si>
    <t>Test Scenario</t>
  </si>
  <si>
    <t>identifies(BehaviourState)</t>
  </si>
  <si>
    <t>isIdentifiedBy(DetectionMethod)</t>
  </si>
  <si>
    <t>RL_STATE_ABNORMAL_TRANSITION</t>
  </si>
  <si>
    <t>RL_CATTLEFEVER_DETECTION</t>
  </si>
  <si>
    <t>RL_BEHAVIOUR_DEVIATION</t>
  </si>
  <si>
    <t>RL_COMPLEXTHEFT_CORRELATION</t>
  </si>
  <si>
    <t>RL_DEVICE_SABOTAGE_CHECK</t>
  </si>
  <si>
    <t>RL_GOAT_ANOMALY_TRANSITION</t>
  </si>
  <si>
    <t>RL_PROXIMITY_INFERENCE</t>
  </si>
  <si>
    <t>RL_FENCE_BREACH_THEFT</t>
  </si>
  <si>
    <t>RL_MODERATEHEAT_CONTEXT</t>
  </si>
  <si>
    <t>RL_NORMALGRAZING_BASELINE</t>
  </si>
  <si>
    <t>RL_GEOFENCE_SOUTH</t>
  </si>
  <si>
    <t>RL_GEOFENCE_WEST</t>
  </si>
  <si>
    <t>RL_SUSPICIOUS_RESTLESS_INQUIRY</t>
  </si>
  <si>
    <t>Uses speed/baseline math to move any livestock 
from a "Normal" to "Abnormal" state.</t>
  </si>
  <si>
    <t>Triggers when device longitude falls below the minimum western coordinate.</t>
  </si>
  <si>
    <t>Triggers when device latitude falls below the minimum southern coordinate.</t>
  </si>
  <si>
    <t>Validates normal activity if duration and speed stay within the sheep's grazing baseline.</t>
  </si>
  <si>
    <t>Combines "OutsideFence" status with "AbnormalState" to confirm an active theft.</t>
  </si>
  <si>
    <t>Inferred RBox Axiom: If livestock is adjacent to a boundary, it is asserted as "NearBoundary".</t>
  </si>
  <si>
    <t>Flags daytime temperatures (≥ 35°C) as "Extreme Heat" to provide context for high heart rates.</t>
  </si>
  <si>
    <t>Identifies when a resting state lasts longer than the
baseline duration, suggesting injury or theft.</t>
  </si>
  <si>
    <t>Correlates location, behavior, and environmental 
context to confirm a high-confidence theft event.</t>
  </si>
  <si>
    <t xml:space="preserve">Calculates the percentage deviation of current speed 
vs. baseline; triggers if it exceeds the set threshold. </t>
  </si>
  <si>
    <t>Detects high body temperature (≥ 39.4°C) in cattle
and links it to a fever indicator.</t>
  </si>
  <si>
    <t>RL_GEO_FENCE_MAXLON_EAST</t>
  </si>
  <si>
    <t>RL_EXTREME_HEAT_CONTEXT</t>
  </si>
  <si>
    <t>RL_GEOFENCE_NORTH_VIOLATION</t>
  </si>
  <si>
    <t>Confirms livestock is Inside if current latitude is less than max latitude.</t>
  </si>
  <si>
    <t>Health Anomaly Check</t>
  </si>
  <si>
    <t>Theft (Running Deviation)</t>
  </si>
  <si>
    <t>Theft (Multi-factor)</t>
  </si>
  <si>
    <t>Health / Sabotage</t>
  </si>
  <si>
    <t>Escape / Geo-fence Breach</t>
  </si>
  <si>
    <t>Environmental Stress</t>
  </si>
  <si>
    <t>Security / Sabotage</t>
  </si>
  <si>
    <t>Theft (Goat specific)</t>
  </si>
  <si>
    <t>Monitoring / Pre-alert</t>
  </si>
  <si>
    <t>Theft (Boundary Breach)</t>
  </si>
  <si>
    <t>Environmental Baseline</t>
  </si>
  <si>
    <t>Escape / Northern Boundary</t>
  </si>
  <si>
    <t>Normal Activity</t>
  </si>
  <si>
    <t>Escape / Southern Boundary</t>
  </si>
  <si>
    <t>Escape / Western Boundary</t>
  </si>
  <si>
    <t>Theft (Suspicious Activity)</t>
  </si>
  <si>
    <t>Behaviour State Management</t>
  </si>
  <si>
    <t>Escape / North Boundary Breach</t>
  </si>
  <si>
    <t>Test Group</t>
  </si>
  <si>
    <t>Health</t>
  </si>
  <si>
    <t>Theft</t>
  </si>
  <si>
    <t>Normal</t>
  </si>
  <si>
    <t>Test Data Range</t>
  </si>
  <si>
    <t>Context</t>
  </si>
  <si>
    <t>General</t>
  </si>
  <si>
    <t>isTriggeredBy(BehaviourState)</t>
  </si>
  <si>
    <t>hasIndicator(LivestockIndicator,TechnologyIndicator)</t>
  </si>
  <si>
    <t>isIndicatorOf(Device,Livestock)</t>
  </si>
  <si>
    <t>affectedBy(LivestockEvent)</t>
  </si>
  <si>
    <t>atIncidentLocation(Location)</t>
  </si>
  <si>
    <t>isLocationOfIncident(LivestockEvent)</t>
  </si>
  <si>
    <t>isLocationOfCondition(EnvironmentalCondition)</t>
  </si>
  <si>
    <t>occursAtLocation(Location)</t>
  </si>
  <si>
    <t>records(RoutineLogEvent, StatusUpdateEvent,TheftEvent)</t>
  </si>
  <si>
    <t>isGeneratedByDevice(Device)</t>
  </si>
  <si>
    <t>generatesLog(RoutineLogEvent)</t>
  </si>
  <si>
    <t>logGeneratedBy(SoftwareApplication)</t>
  </si>
  <si>
    <t>initiatesStatusUpdate(StatusUpdateEvent)</t>
  </si>
  <si>
    <t>uiUpdatedBy(StatusEventUpdate)</t>
  </si>
  <si>
    <t>experiences(HealthCondition)</t>
  </si>
  <si>
    <t>isExperiencedBy(Livestock)</t>
  </si>
  <si>
    <t>isExtractedTo(LivestockIndicator)</t>
  </si>
  <si>
    <t>isSupportedBy(LivestockIndicator)</t>
  </si>
  <si>
    <t>updatesUI(SoftwareApplication)</t>
  </si>
  <si>
    <t>influences(BehaviourState)</t>
  </si>
  <si>
    <t>impacts(Livestock,Device, Location)</t>
  </si>
  <si>
    <t>externallyAffects(Livestock)</t>
  </si>
  <si>
    <t>biologicallyAffects(Livestock)</t>
  </si>
  <si>
    <t>impactedBy(LivestockEvent)</t>
  </si>
  <si>
    <t>isBiologicallyAffectedBy(HealthCondition)</t>
  </si>
  <si>
    <t>isExternallyAffectedBy(EnvironmentalCondition)</t>
  </si>
  <si>
    <t>isDetectedBy(DetectionMethod)</t>
  </si>
  <si>
    <t>isExtractedFrom(SensorData)</t>
  </si>
  <si>
    <t>exhibits(Behaviour)</t>
  </si>
  <si>
    <t>hasAge xsd:integer</t>
  </si>
  <si>
    <t>hasAnimalID xsd:string</t>
  </si>
  <si>
    <t>hasBirthDate xsd:datetime</t>
  </si>
  <si>
    <t>hasBreed xsd:string</t>
  </si>
  <si>
    <t>hasGender xsd:string</t>
  </si>
  <si>
    <t>hasBodyConditionScore xsd:string</t>
  </si>
  <si>
    <t>hasSpecies xsd:string</t>
  </si>
  <si>
    <t>hasTagMark xsd:string</t>
  </si>
  <si>
    <t>isElectronicIdentified (xsd:boolean)</t>
  </si>
  <si>
    <r>
      <t>hasLastSeenTimestamp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xsd:dateTime</t>
    </r>
    <r>
      <rPr>
        <sz val="11"/>
        <color theme="1"/>
        <rFont val="Calibri"/>
        <family val="2"/>
        <scheme val="minor"/>
      </rPr>
      <t>)</t>
    </r>
  </si>
  <si>
    <r>
      <t>hasMobilityScore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xsd:integer</t>
    </r>
    <r>
      <rPr>
        <sz val="11"/>
        <color theme="1"/>
        <rFont val="Calibri"/>
        <family val="2"/>
        <scheme val="minor"/>
      </rPr>
      <t>)</t>
    </r>
  </si>
  <si>
    <t>hasGroupSize xsd:integer</t>
  </si>
  <si>
    <t>hasWeightInKg xsd:decimal</t>
  </si>
  <si>
    <t>hasDeviceBatteryLife xsd:decimal</t>
  </si>
  <si>
    <t>hasDeviceCapacity xsd:decimal</t>
  </si>
  <si>
    <t>hasDeviceDescription xsd:string</t>
  </si>
  <si>
    <t>hasDeviceID xsd:integer</t>
  </si>
  <si>
    <t>hasDeviceName  xsd:string</t>
  </si>
  <si>
    <t>hasDevicePrice xsd:decimal</t>
  </si>
  <si>
    <t>hasDeviceProtocol xsd:string</t>
  </si>
  <si>
    <t>hasDeviceSerialNumber xsd:string</t>
  </si>
  <si>
    <t>hasDeviceType xsd:string</t>
  </si>
  <si>
    <t>hasManufacturerDate (xsd:dateTime)</t>
  </si>
  <si>
    <t>hasManufacturerName xsd:string</t>
  </si>
  <si>
    <t>hasModulationFrequencyRange xsd:string</t>
  </si>
  <si>
    <t>hasPowerStatus xsd:string</t>
  </si>
  <si>
    <t>isSuitableForRuralAreas xsd:boolean</t>
  </si>
  <si>
    <t>hasDataOutputType xsd:string</t>
  </si>
  <si>
    <t>hasDataSize xsd:decimal</t>
  </si>
  <si>
    <t>hasDataTimeStamp xsd:dateTime</t>
  </si>
  <si>
    <t>isCloudServiceScalable xsd:boolean</t>
  </si>
  <si>
    <t>hasCloudProvider xsd:string</t>
  </si>
  <si>
    <t>isEncrypted xsd:boolean</t>
  </si>
  <si>
    <t>hasUptimeGuarantee xsd:decimal</t>
  </si>
  <si>
    <t>hasCloudServiceCost xsd:decimal</t>
  </si>
  <si>
    <t>hasCompatibility xsd:string</t>
  </si>
  <si>
    <t>hasFunctionality xsd:string</t>
  </si>
  <si>
    <t>hasSoftwareAppName xsd:string</t>
  </si>
  <si>
    <t>hasSoftwareAppType xsd:string</t>
  </si>
  <si>
    <t>hasSoftwareVersion xsd:string</t>
  </si>
  <si>
    <t>hasSystemStatus xsd:string</t>
  </si>
  <si>
    <t>hasResponseTimeMs xsd:decimal</t>
  </si>
  <si>
    <t>hasLastUpdateTimestamp xsd:dateTime</t>
  </si>
  <si>
    <t>isOnline xsd:boolean</t>
  </si>
  <si>
    <t>hasLastSyncTime xsd:dateTime</t>
  </si>
  <si>
    <t>hasEnvironmentDescription xsd:string</t>
  </si>
  <si>
    <t>hasPrecipitation xsd:string</t>
  </si>
  <si>
    <t>hasWeatherCondition:string</t>
  </si>
  <si>
    <t>hasEnvValue xsd:decimal</t>
  </si>
  <si>
    <t>hasEnvUnit xsd:string</t>
  </si>
  <si>
    <t>hasHealthDescription xsd:string</t>
  </si>
  <si>
    <t>hasSymptoms xsd:string</t>
  </si>
  <si>
    <t>hasBodyTemperature xsd:decimal</t>
  </si>
  <si>
    <t>hasHealthStatus xsd:string</t>
  </si>
  <si>
    <t>lastVetCheck xsd:dateTime</t>
  </si>
  <si>
    <t>hasAccuracyRate xsd:decimal</t>
  </si>
  <si>
    <t>hasLastScanTime xsd:dateTime</t>
  </si>
  <si>
    <t>hasDetectionThreshold xsd:decimal</t>
  </si>
  <si>
    <t>hasSensitivityLevel xsd:string</t>
  </si>
  <si>
    <t>isDetectionActive xsd:boolean</t>
  </si>
  <si>
    <t>hasFalsePositiveRate xsd:decimal</t>
  </si>
  <si>
    <t>hasTrainingData xsd:boolean</t>
  </si>
  <si>
    <t>hasMethodAttribute xsd:string</t>
  </si>
  <si>
    <r>
      <t>hasReliabilityScore (</t>
    </r>
    <r>
      <rPr>
        <sz val="10"/>
        <color theme="1"/>
        <rFont val="Arial Unicode MS"/>
      </rPr>
      <t>xsd:decimal</t>
    </r>
    <r>
      <rPr>
        <sz val="11"/>
        <color theme="1"/>
        <rFont val="Calibri"/>
        <family val="2"/>
        <scheme val="minor"/>
      </rPr>
      <t>)</t>
    </r>
  </si>
  <si>
    <t>hasDetectionLatencyMs(xsd:decimal)</t>
  </si>
  <si>
    <r>
      <t>hasDetectionPriority (</t>
    </r>
    <r>
      <rPr>
        <sz val="10"/>
        <color theme="1"/>
        <rFont val="Arial Unicode MS"/>
      </rPr>
      <t>xsd:decimal</t>
    </r>
    <r>
      <rPr>
        <sz val="11"/>
        <color theme="1"/>
        <rFont val="Calibri"/>
        <family val="2"/>
        <scheme val="minor"/>
      </rPr>
      <t>)</t>
    </r>
  </si>
  <si>
    <t>hasInputFeatures xsd:string</t>
  </si>
  <si>
    <t>hasOutputFormat xsd:string</t>
  </si>
  <si>
    <t>hasPurpose xsd:string</t>
  </si>
  <si>
    <t>hasResourceRequirements:string</t>
  </si>
  <si>
    <t>hasExecutionTimeMs xsd:decimal</t>
  </si>
  <si>
    <t>hasAlgorithmType xsd:string</t>
  </si>
  <si>
    <t>hasAlgorithmVersion xsd:string</t>
  </si>
  <si>
    <t>hasAccuracyRate xsd:decimal(Reuse)</t>
  </si>
  <si>
    <t>isOptimized xsd:boolean</t>
  </si>
  <si>
    <t>hasComplexity xsd:string</t>
  </si>
  <si>
    <t>hasDataType xsd:string</t>
  </si>
  <si>
    <t>hasSensorTimeStamp xsd:dateTime</t>
  </si>
  <si>
    <t>hasValue xsd:decimal</t>
  </si>
  <si>
    <t>hasUoM xsd:string</t>
  </si>
  <si>
    <t>hasTemporalContext xsd:string</t>
  </si>
  <si>
    <t>hasDatabaseType xsd:string</t>
  </si>
  <si>
    <t>hasEncryptionStandard xsd:string</t>
  </si>
  <si>
    <t>hasDatabaseStorageCapacity xsd:decimal</t>
  </si>
  <si>
    <t>hasDatabaseAccessControl   xsd:boolean</t>
  </si>
  <si>
    <t>hasBackupAndRecovery xsd:boolean</t>
  </si>
  <si>
    <t>hasDatabaseSchema xsd:string</t>
  </si>
  <si>
    <t>hasLastBackup xsd:dateTime</t>
  </si>
  <si>
    <t>hasLatitude xsd:decimal</t>
  </si>
  <si>
    <t>hasLongitude xsd:decimal</t>
  </si>
  <si>
    <t>hasID xsd:string</t>
  </si>
  <si>
    <t>hasLocationName xsd:string</t>
  </si>
  <si>
    <t>hasLatitude 	xsd:decimal</t>
  </si>
  <si>
    <t>hasLongitude	 xsd:decimal</t>
  </si>
  <si>
    <t>hasMinLat 	xsd:decimal</t>
  </si>
  <si>
    <t>hasMinLon 	xsd:decimal</t>
  </si>
  <si>
    <t>hasFarmSizeinHa xsd:decimal</t>
  </si>
  <si>
    <t>hasMaxLat	 xsd:decimal</t>
  </si>
  <si>
    <t>hasMaxLon	 xsd:decimal</t>
  </si>
  <si>
    <t>hasLocationDescription</t>
  </si>
  <si>
    <t>hasParticipantID xsd:string</t>
  </si>
  <si>
    <t>hasParticipantName xsd:string</t>
  </si>
  <si>
    <t>hasContactNumber xsd:string</t>
  </si>
  <si>
    <t>hasParticipantRole xsd:string</t>
  </si>
  <si>
    <t>hasParticipantEmail xsd:string</t>
  </si>
  <si>
    <t>hasBehaviourStartTime xsd:dateTime</t>
  </si>
  <si>
    <t>hasBehaviourEndTime xsd:dateTime</t>
  </si>
  <si>
    <t>hasDuration xsd:decimal</t>
  </si>
  <si>
    <t>hasBaselineValue xsd:decimal</t>
  </si>
  <si>
    <t>hasDurationBaseline xsd:decimal</t>
  </si>
  <si>
    <t>isOutsideGeofence xsd:boolean</t>
  </si>
  <si>
    <t>hasBehaviourStateContext xsd:string</t>
  </si>
  <si>
    <t>triggersAlertLevel xsd:string</t>
  </si>
  <si>
    <t>isResolved xsd:boolean</t>
  </si>
  <si>
    <t>hasEventDateTime:dateTime</t>
  </si>
  <si>
    <t>hasEventDateTime xsd:dateTime</t>
  </si>
  <si>
    <t>isCurrentStatusOf(Livestock)</t>
  </si>
  <si>
    <t>hasCurrentStatus(statuUpdateEvent)</t>
  </si>
  <si>
    <t>evidenceFor(LivestockEvent,statusUpdateEvent)</t>
  </si>
  <si>
    <t>statusUpdateInitiatedBy( BehaviourState)</t>
  </si>
  <si>
    <t>validateStatusOfEvent(StatusUpdateEvent)</t>
  </si>
  <si>
    <t>hasUpdateFrequency xsd:string</t>
  </si>
  <si>
    <t>characterises(BehaviourState, 
EnvironmentalCondition,HealthCondition)</t>
  </si>
  <si>
    <t>Total Data properties</t>
  </si>
  <si>
    <t>Total Object properties</t>
  </si>
  <si>
    <t>Total Main Classes</t>
  </si>
  <si>
    <t>Total SWRL Rules</t>
  </si>
  <si>
    <t>exhibitedBy(Livestock)</t>
  </si>
  <si>
    <t>isCurrentBehaviourStateOf(Behaviour)</t>
  </si>
  <si>
    <t>isTransitionedFrom(NormalState)</t>
  </si>
  <si>
    <t>isLocatedAtFarm(Farm)</t>
  </si>
  <si>
    <t>isAffectedBy(LivestockEvent)</t>
  </si>
  <si>
    <t>transmitSensorDataTo(DataTransmission)</t>
  </si>
  <si>
    <t>transmittedSensorDataFrom(SensorData)</t>
  </si>
  <si>
    <t>Sheep</t>
  </si>
  <si>
    <t>hasDuration</t>
  </si>
  <si>
    <t>BASELINE_ID</t>
  </si>
  <si>
    <t>SHEEP</t>
  </si>
  <si>
    <t>BEHAVIOURSTATE</t>
  </si>
  <si>
    <t>hasValue</t>
  </si>
  <si>
    <t>hasUoM</t>
  </si>
  <si>
    <t>hasBaseLineType</t>
  </si>
  <si>
    <t>BL_Sheep_Run</t>
  </si>
  <si>
    <t>BL_Sheep_Graze</t>
  </si>
  <si>
    <t>NormalSheepGrazingState</t>
  </si>
  <si>
    <t>NormalSheepRestingState</t>
  </si>
  <si>
    <t>BL_Sheep_Rest</t>
  </si>
  <si>
    <t>NormalSheepRunningState</t>
  </si>
  <si>
    <t>GOAT</t>
  </si>
  <si>
    <t>CATTLE</t>
  </si>
  <si>
    <t>BL_Goat_Run</t>
  </si>
  <si>
    <t>BL_Goat_Graze</t>
  </si>
  <si>
    <t>BL_Goat_Rest</t>
  </si>
  <si>
    <t>BL_Cow_Run</t>
  </si>
  <si>
    <t>BL_Cow_Graze</t>
  </si>
  <si>
    <t>BL_Cow_Rest</t>
  </si>
  <si>
    <t>m/s</t>
  </si>
  <si>
    <t>isOutsideFence</t>
  </si>
  <si>
    <t>hasBehaviourStateContext</t>
  </si>
  <si>
    <t>DAYTIME</t>
  </si>
  <si>
    <t>Maximum Normal</t>
  </si>
  <si>
    <t>hasBalineType xsd:string</t>
  </si>
  <si>
    <t>Average</t>
  </si>
  <si>
    <t>NormalGoatRunningState</t>
  </si>
  <si>
    <t>NormalGoatGrazingState</t>
  </si>
  <si>
    <t>NormalGoatRestingState</t>
  </si>
  <si>
    <t>BL_Sheep_Run_Theft</t>
  </si>
  <si>
    <t>&gt;4.5</t>
  </si>
  <si>
    <t>&gt;300</t>
  </si>
  <si>
    <t>NIGHTIME</t>
  </si>
  <si>
    <t>Reached Maximum</t>
  </si>
  <si>
    <t>NormalSheepNightRestingState</t>
  </si>
  <si>
    <t>BL_Sheep_Rest_AtNight</t>
  </si>
  <si>
    <t>BL_Goat_Escaped</t>
  </si>
  <si>
    <t>ANY</t>
  </si>
  <si>
    <t>AbnormalGoatWalkingState</t>
  </si>
  <si>
    <t>UnusualMovementState</t>
  </si>
  <si>
    <t>hasTransmissionTimeStamp xsd:dateTime</t>
  </si>
  <si>
    <t>hasStatus (xsd:string)</t>
  </si>
  <si>
    <t>Package</t>
  </si>
  <si>
    <t>1.Sheep_SensorData_LoadData.xls</t>
  </si>
  <si>
    <t>Data Package</t>
  </si>
  <si>
    <t>2.Sheep_Devices_LoadData.xls</t>
  </si>
  <si>
    <t>Check</t>
  </si>
  <si>
    <t>SheepTrackerCollar</t>
  </si>
  <si>
    <t>SheepSensorData</t>
  </si>
  <si>
    <r>
      <t>NormalSheep</t>
    </r>
    <r>
      <rPr>
        <b/>
        <sz val="11"/>
        <color theme="1"/>
        <rFont val="Calibri"/>
        <family val="2"/>
        <scheme val="minor"/>
      </rPr>
      <t>&lt;Behaviour&gt;</t>
    </r>
    <r>
      <rPr>
        <sz val="11"/>
        <color theme="1"/>
        <rFont val="Calibri"/>
        <family val="2"/>
        <scheme val="minor"/>
      </rPr>
      <t>State</t>
    </r>
  </si>
  <si>
    <t>4a.SheepBehaviour_LoadData.xls</t>
  </si>
  <si>
    <t>4b.SystemStatusUpdateEvents_LoadData.xls</t>
  </si>
  <si>
    <t>5.Sheep_LoadData</t>
  </si>
  <si>
    <t>SheepStatusUpdate</t>
  </si>
  <si>
    <t>6.SheepIndicators_LoadData</t>
  </si>
  <si>
    <t>Prefix or sufix</t>
  </si>
  <si>
    <t>7.SheepEvents_LoadData</t>
  </si>
  <si>
    <t>xxxxxEvent</t>
  </si>
  <si>
    <t>xxxxxIndicator</t>
  </si>
  <si>
    <t>hasComponent(Sensor)</t>
  </si>
  <si>
    <t>isSensorOf(Device)</t>
  </si>
  <si>
    <t>hasSensorType xsd:string</t>
  </si>
  <si>
    <t>isDeviceOnline xsd:boolean</t>
  </si>
  <si>
    <t>hasSamplingRateInSeconds xsd:decimal</t>
  </si>
  <si>
    <t>isSensorCalibrated xsd:boolean</t>
  </si>
  <si>
    <t>RL_NORMAL_MOVEMENT_BASELINE</t>
  </si>
  <si>
    <t>NormalSheepWanderingState</t>
  </si>
  <si>
    <t>BL_Sheep_Wander</t>
  </si>
  <si>
    <t>2b.Sheep_DeviceSensors_LoadData</t>
  </si>
  <si>
    <t>SheepTrackerSensor&lt;IDNO&gt;_&lt;SEQNO&gt;</t>
  </si>
  <si>
    <t>EscapedSheepState</t>
  </si>
  <si>
    <t>RL_ESCAPED</t>
  </si>
  <si>
    <t>Escape</t>
  </si>
  <si>
    <t>Class</t>
  </si>
  <si>
    <t>5.Algorithm_LoadData</t>
  </si>
  <si>
    <t>7.DetectionMethod_LoadData</t>
  </si>
  <si>
    <t>8.SheepAbnormalState_LoadData</t>
  </si>
  <si>
    <t>3.SheepNormalState_LoadData.xls</t>
  </si>
  <si>
    <t>RL_THEFT_IN_PROGRESS</t>
  </si>
  <si>
    <t>RL_GEOFENCE_INSIDE_VALIDATION</t>
  </si>
  <si>
    <t>SheepGrazing,
SheepWandering,
SheepWandering,
SheepRunning,
SheepResting</t>
  </si>
  <si>
    <t>Check if Repeat is needed</t>
  </si>
  <si>
    <t>7- ☑</t>
  </si>
  <si>
    <t>5 - ☑</t>
  </si>
  <si>
    <t>8 - ☑</t>
  </si>
  <si>
    <t>Size &amp; loaded</t>
  </si>
  <si>
    <t>002 - 100 - ☑</t>
  </si>
  <si>
    <t>hasBaslinePosture xsd:decimal</t>
  </si>
  <si>
    <t>hasBaselineStepCount xsd:integer</t>
  </si>
  <si>
    <t>hasBaslinePostureUoM xsd:string</t>
  </si>
  <si>
    <t>hasBaselineStepCountUoM xsd:string</t>
  </si>
  <si>
    <t>002 - 031 - ☑
031 - 050 - ☑
051 - 065 - ☑
066 - 080 - ☑
081 - 090 - ☑</t>
  </si>
  <si>
    <t>RL_PROLONGED_RESTING_DEVIATION_INTENSITY</t>
  </si>
  <si>
    <t>RL_PROLONGED_RESTING_DEVIATION_POSTURE</t>
  </si>
  <si>
    <t>RL_PROLONGED_RESTING_DEVIATION_STEPCOUNT</t>
  </si>
  <si>
    <t>The animal is stationary.
Could be grazing in one spot or standing still.</t>
  </si>
  <si>
    <t>hasBaseLineSignalStrength xsd:decimal</t>
  </si>
  <si>
    <t>baseLineHeadingDirection xsd:decimal</t>
  </si>
  <si>
    <t>RL_FENCE_BREACH_THEFT_SPEED</t>
  </si>
  <si>
    <t>RL_FENCE_BREACH_THEFT_DIRECTION</t>
  </si>
  <si>
    <t>RL_FENCE_BREACH_THEFT_SIGNAL</t>
  </si>
  <si>
    <t>Validates normal activity if duration and speed stay within the sheep's wandering baseline.</t>
  </si>
  <si>
    <t>The animal is lying down. Normal rest or physical exhaustion.</t>
  </si>
  <si>
    <t>Triggers when a livestock device reports a longitude exceeding the eastern boundary.</t>
  </si>
  <si>
    <t>Flags an indicator of "Sabotage".If a device in a restricted area reports power status "Off".</t>
  </si>
  <si>
    <t>Detects abnormal goat behavior (speed vs. grazing baseline) and transitions state to "Abnormal".</t>
  </si>
  <si>
    <t>Triggers when the device latitude exceeds the defined maximum northern  coordinate.</t>
  </si>
  <si>
    <t>Flags a sheep as "SuspectedOfTheft" if it exhibits "Restless" behavior at an isolation location.</t>
  </si>
  <si>
    <t>RL_SYSTEM_INTEGRITY_CHECK</t>
  </si>
  <si>
    <t>Sheep/Goat/Cow 081-090</t>
  </si>
  <si>
    <t>Sheep/Goat/Cow 081-084</t>
  </si>
  <si>
    <t>Sheep/Goat/Cow 085-087</t>
  </si>
  <si>
    <t>Sheep/Goat/Cow 088-090</t>
  </si>
  <si>
    <t>Sheep/Goat/Cow 051-080</t>
  </si>
  <si>
    <t>Sheep/Goat/Cow 091 – 094</t>
  </si>
  <si>
    <t>Sheep/Goat/Cow 095 – 097</t>
  </si>
  <si>
    <t>Sheep/Goat/Cow 098 – 100</t>
  </si>
  <si>
    <t>Sheep/Goat/Cow Sheep 051-080</t>
  </si>
  <si>
    <t>Sheep/Goat/Cow 002-030</t>
  </si>
  <si>
    <t>Sheep/Goat/Cow 031-041</t>
  </si>
  <si>
    <t>Sheep/Goat/Cow 031-065</t>
  </si>
  <si>
    <t>Sheep/Goat/Cow 066-080</t>
  </si>
  <si>
    <t>Sheep/Goat/Cow 094 and Sheep100</t>
  </si>
  <si>
    <t>SheepGrazing,
SheepWandering,
SheepRunning,
SheepResting</t>
  </si>
  <si>
    <t>002 - 031 - ☑
031 - 050 - ☑
051 - 065 - ☑
066 - 080 - ☑
081 - 090 -</t>
  </si>
  <si>
    <t>002 - 030 - ☑
031 - 050 - ☑
051 - 065 - ☑
066 - 080 - ☑
081 - 090 - ☑</t>
  </si>
  <si>
    <t>002 - 030 - ☑
031 - 050 - ☑
051 - 065 - ☑
066 - 080 - ☑
081 - 090 -</t>
  </si>
  <si>
    <t>002 - 030 - ☑
051 - 065 - ☑
066 - 080 - ☑
081 - 090 -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</si>
</sst>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 Unicode MS"/>
    </font>
    <font>
      <b/>
      <u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1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2" fillId="12" borderId="0" xfId="0" applyFont="1" applyFill="1"/>
    <xf numFmtId="0" fontId="0" fillId="13" borderId="0" xfId="0" applyFill="1"/>
    <xf numFmtId="0" fontId="2" fillId="13" borderId="0" xfId="0" applyFont="1" applyFill="1"/>
    <xf numFmtId="0" fontId="0" fillId="14" borderId="0" xfId="0" applyFill="1"/>
    <xf numFmtId="0" fontId="2" fillId="14" borderId="0" xfId="0" applyFont="1" applyFill="1"/>
    <xf numFmtId="0" fontId="0" fillId="15" borderId="0" xfId="0" applyFill="1"/>
    <xf numFmtId="0" fontId="2" fillId="15" borderId="0" xfId="0" applyFont="1" applyFill="1"/>
    <xf numFmtId="0" fontId="0" fillId="16" borderId="0" xfId="0" applyFill="1"/>
    <xf numFmtId="0" fontId="0" fillId="17" borderId="0" xfId="0" applyFill="1"/>
    <xf numFmtId="0" fontId="2" fillId="17" borderId="0" xfId="0" applyFont="1" applyFill="1"/>
    <xf numFmtId="0" fontId="0" fillId="18" borderId="0" xfId="0" applyFill="1"/>
    <xf numFmtId="0" fontId="2" fillId="16" borderId="0" xfId="0" applyFont="1" applyFill="1"/>
    <xf numFmtId="0" fontId="2" fillId="18" borderId="0" xfId="0" applyFont="1" applyFill="1"/>
    <xf numFmtId="0" fontId="0" fillId="19" borderId="0" xfId="0" applyFill="1"/>
    <xf numFmtId="0" fontId="2" fillId="19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0" borderId="0" xfId="0" applyFill="1"/>
    <xf numFmtId="0" fontId="0" fillId="20" borderId="0" xfId="0" applyFill="1" applyAlignment="1">
      <alignment wrapText="1"/>
    </xf>
    <xf numFmtId="0" fontId="5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6" fillId="21" borderId="0" xfId="0" applyFont="1" applyFill="1" applyAlignment="1">
      <alignment vertical="top"/>
    </xf>
    <xf numFmtId="0" fontId="6" fillId="21" borderId="0" xfId="0" applyFont="1" applyFill="1" applyAlignment="1">
      <alignment vertical="top" wrapText="1"/>
    </xf>
    <xf numFmtId="0" fontId="6" fillId="22" borderId="0" xfId="0" applyFont="1" applyFill="1" applyAlignment="1">
      <alignment vertical="top"/>
    </xf>
    <xf numFmtId="0" fontId="6" fillId="22" borderId="0" xfId="0" applyFont="1" applyFill="1" applyAlignment="1">
      <alignment vertical="top" wrapText="1"/>
    </xf>
    <xf numFmtId="0" fontId="0" fillId="23" borderId="0" xfId="0" applyFill="1"/>
    <xf numFmtId="0" fontId="2" fillId="23" borderId="0" xfId="0" applyFont="1" applyFill="1"/>
    <xf numFmtId="0" fontId="2" fillId="20" borderId="0" xfId="0" applyFont="1" applyFill="1" applyAlignment="1">
      <alignment vertical="top"/>
    </xf>
    <xf numFmtId="0" fontId="2" fillId="0" borderId="0" xfId="0" applyFont="1"/>
    <xf numFmtId="0" fontId="2" fillId="3" borderId="0" xfId="0" applyFont="1" applyFill="1"/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vertical="top"/>
    </xf>
    <xf numFmtId="0" fontId="10" fillId="2" borderId="0" xfId="0" applyFont="1" applyFill="1"/>
    <xf numFmtId="0" fontId="10" fillId="24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6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0" fillId="3" borderId="0" xfId="0" applyFill="1" applyAlignment="1">
      <alignment vertical="top" wrapText="1"/>
    </xf>
    <xf numFmtId="0" fontId="4" fillId="3" borderId="0" xfId="0" applyFont="1" applyFill="1"/>
    <xf numFmtId="0" fontId="5" fillId="2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workbookViewId="0">
      <pane ySplit="1" topLeftCell="A80" activePane="bottomLeft" state="frozen"/>
      <selection pane="bottomLeft" activeCell="D100" sqref="D100"/>
    </sheetView>
  </sheetViews>
  <sheetFormatPr defaultRowHeight="14.4"/>
  <cols>
    <col min="1" max="1" width="3" bestFit="1" customWidth="1"/>
    <col min="2" max="2" width="21.88671875" bestFit="1" customWidth="1"/>
    <col min="3" max="3" width="4" bestFit="1" customWidth="1"/>
    <col min="4" max="4" width="36.5546875" bestFit="1" customWidth="1"/>
    <col min="5" max="5" width="8.21875" bestFit="1" customWidth="1"/>
    <col min="6" max="6" width="3" bestFit="1" customWidth="1"/>
    <col min="7" max="7" width="48.77734375" bestFit="1" customWidth="1"/>
    <col min="8" max="8" width="8.21875" bestFit="1" customWidth="1"/>
  </cols>
  <sheetData>
    <row r="1" spans="1:16" s="2" customFormat="1">
      <c r="A1" s="2" t="s">
        <v>22</v>
      </c>
      <c r="B1" s="2" t="s">
        <v>40</v>
      </c>
      <c r="C1" s="2" t="s">
        <v>22</v>
      </c>
      <c r="D1" s="2" t="s">
        <v>2</v>
      </c>
      <c r="E1" s="2" t="s">
        <v>45</v>
      </c>
      <c r="F1" s="2" t="s">
        <v>22</v>
      </c>
      <c r="G1" s="2" t="s">
        <v>1</v>
      </c>
      <c r="H1" s="2" t="s">
        <v>45</v>
      </c>
      <c r="I1" s="53"/>
      <c r="J1" s="53"/>
      <c r="K1" s="53"/>
      <c r="L1" s="53"/>
      <c r="M1" s="53"/>
      <c r="N1" s="53"/>
      <c r="O1" s="53"/>
      <c r="P1" s="53"/>
    </row>
    <row r="2" spans="1:16" s="50" customFormat="1">
      <c r="A2" s="50">
        <v>1</v>
      </c>
      <c r="B2" s="51" t="s">
        <v>0</v>
      </c>
      <c r="C2">
        <v>1</v>
      </c>
      <c r="D2" s="50" t="s">
        <v>150</v>
      </c>
      <c r="E2" s="36" t="s">
        <v>44</v>
      </c>
      <c r="F2" s="36">
        <v>1</v>
      </c>
      <c r="G2" s="50" t="s">
        <v>3</v>
      </c>
      <c r="H2" s="36" t="s">
        <v>44</v>
      </c>
      <c r="I2"/>
      <c r="J2"/>
      <c r="K2"/>
      <c r="L2"/>
      <c r="M2"/>
      <c r="N2"/>
      <c r="O2"/>
      <c r="P2"/>
    </row>
    <row r="3" spans="1:16">
      <c r="C3">
        <v>2</v>
      </c>
      <c r="D3" t="s">
        <v>151</v>
      </c>
      <c r="E3" s="36" t="s">
        <v>44</v>
      </c>
      <c r="F3" s="36">
        <v>2</v>
      </c>
      <c r="G3" t="s">
        <v>149</v>
      </c>
      <c r="H3" s="36" t="s">
        <v>44</v>
      </c>
    </row>
    <row r="4" spans="1:16">
      <c r="C4">
        <v>3</v>
      </c>
      <c r="D4" t="s">
        <v>152</v>
      </c>
      <c r="E4" s="36" t="s">
        <v>44</v>
      </c>
      <c r="F4" s="36">
        <v>3</v>
      </c>
      <c r="G4" t="s">
        <v>280</v>
      </c>
      <c r="H4" s="36" t="s">
        <v>44</v>
      </c>
    </row>
    <row r="5" spans="1:16">
      <c r="C5">
        <v>4</v>
      </c>
      <c r="D5" t="s">
        <v>153</v>
      </c>
      <c r="E5" s="36" t="s">
        <v>44</v>
      </c>
      <c r="F5" s="36">
        <v>4</v>
      </c>
      <c r="G5" t="s">
        <v>4</v>
      </c>
      <c r="H5" s="36" t="s">
        <v>44</v>
      </c>
    </row>
    <row r="6" spans="1:16">
      <c r="C6">
        <v>5</v>
      </c>
      <c r="D6" t="s">
        <v>154</v>
      </c>
      <c r="E6" s="36" t="s">
        <v>44</v>
      </c>
      <c r="F6" s="36">
        <v>5</v>
      </c>
      <c r="G6" t="s">
        <v>144</v>
      </c>
      <c r="H6" s="36" t="s">
        <v>44</v>
      </c>
    </row>
    <row r="7" spans="1:16">
      <c r="C7">
        <v>6</v>
      </c>
      <c r="D7" t="s">
        <v>155</v>
      </c>
      <c r="E7" s="36" t="s">
        <v>44</v>
      </c>
      <c r="F7" s="36">
        <v>6</v>
      </c>
      <c r="G7" s="3" t="s">
        <v>135</v>
      </c>
      <c r="H7" s="36" t="s">
        <v>44</v>
      </c>
    </row>
    <row r="8" spans="1:16">
      <c r="C8">
        <v>7</v>
      </c>
      <c r="D8" t="s">
        <v>161</v>
      </c>
      <c r="E8" s="36" t="s">
        <v>44</v>
      </c>
      <c r="F8" s="36">
        <v>7</v>
      </c>
      <c r="G8" t="s">
        <v>145</v>
      </c>
      <c r="H8" s="36" t="s">
        <v>44</v>
      </c>
    </row>
    <row r="9" spans="1:16">
      <c r="C9">
        <v>8</v>
      </c>
      <c r="D9" t="s">
        <v>156</v>
      </c>
      <c r="E9" s="36" t="s">
        <v>44</v>
      </c>
      <c r="F9" s="36">
        <v>8</v>
      </c>
      <c r="G9" t="s">
        <v>146</v>
      </c>
      <c r="H9" s="36" t="s">
        <v>44</v>
      </c>
    </row>
    <row r="10" spans="1:16">
      <c r="C10">
        <v>9</v>
      </c>
      <c r="D10" t="s">
        <v>157</v>
      </c>
      <c r="E10" s="36" t="s">
        <v>44</v>
      </c>
      <c r="F10" s="36">
        <v>9</v>
      </c>
      <c r="G10" t="s">
        <v>5</v>
      </c>
      <c r="H10" s="36" t="s">
        <v>44</v>
      </c>
    </row>
    <row r="11" spans="1:16">
      <c r="C11">
        <v>10</v>
      </c>
      <c r="D11" t="s">
        <v>162</v>
      </c>
      <c r="E11" s="36" t="s">
        <v>44</v>
      </c>
      <c r="F11" s="36">
        <v>10</v>
      </c>
      <c r="G11" s="3" t="s">
        <v>267</v>
      </c>
      <c r="H11" s="36" t="s">
        <v>44</v>
      </c>
    </row>
    <row r="12" spans="1:16">
      <c r="C12">
        <v>11</v>
      </c>
      <c r="D12" t="s">
        <v>158</v>
      </c>
      <c r="E12" s="36" t="s">
        <v>44</v>
      </c>
      <c r="F12" s="36">
        <v>11</v>
      </c>
      <c r="G12" t="s">
        <v>62</v>
      </c>
      <c r="H12" s="36" t="s">
        <v>44</v>
      </c>
    </row>
    <row r="13" spans="1:16">
      <c r="C13">
        <v>12</v>
      </c>
      <c r="D13" t="s">
        <v>159</v>
      </c>
      <c r="E13" s="36" t="s">
        <v>44</v>
      </c>
      <c r="F13" s="36"/>
      <c r="H13" s="36"/>
    </row>
    <row r="14" spans="1:16">
      <c r="C14">
        <v>13</v>
      </c>
      <c r="D14" t="s">
        <v>202</v>
      </c>
      <c r="E14" s="36" t="s">
        <v>44</v>
      </c>
      <c r="F14" s="36"/>
      <c r="H14" s="36"/>
    </row>
    <row r="15" spans="1:16">
      <c r="C15">
        <v>14</v>
      </c>
      <c r="D15" t="s">
        <v>160</v>
      </c>
      <c r="E15" s="36" t="s">
        <v>44</v>
      </c>
      <c r="F15" s="36"/>
      <c r="H15" s="36"/>
    </row>
    <row r="16" spans="1:16" s="5" customFormat="1">
      <c r="A16" s="5">
        <v>2</v>
      </c>
      <c r="B16" s="4" t="s">
        <v>6</v>
      </c>
      <c r="C16">
        <v>15</v>
      </c>
      <c r="D16" s="5" t="s">
        <v>163</v>
      </c>
      <c r="E16" s="36" t="s">
        <v>44</v>
      </c>
      <c r="F16" s="36">
        <v>12</v>
      </c>
      <c r="G16" s="5" t="s">
        <v>7</v>
      </c>
      <c r="H16" s="36" t="s">
        <v>44</v>
      </c>
      <c r="I16" s="56"/>
      <c r="J16" s="56"/>
      <c r="K16" s="56"/>
      <c r="L16" s="56"/>
      <c r="M16" s="56"/>
      <c r="N16" s="56"/>
      <c r="O16" s="56"/>
      <c r="P16" s="56"/>
    </row>
    <row r="17" spans="3:8">
      <c r="C17">
        <v>16</v>
      </c>
      <c r="D17" t="s">
        <v>164</v>
      </c>
      <c r="E17" s="36" t="s">
        <v>44</v>
      </c>
      <c r="F17" s="36">
        <v>13</v>
      </c>
      <c r="G17" t="s">
        <v>8</v>
      </c>
      <c r="H17" s="36" t="s">
        <v>44</v>
      </c>
    </row>
    <row r="18" spans="3:8">
      <c r="C18">
        <v>17</v>
      </c>
      <c r="D18" t="s">
        <v>165</v>
      </c>
      <c r="E18" s="36" t="s">
        <v>44</v>
      </c>
      <c r="F18" s="36">
        <v>14</v>
      </c>
      <c r="G18" t="s">
        <v>282</v>
      </c>
      <c r="H18" s="36" t="s">
        <v>44</v>
      </c>
    </row>
    <row r="19" spans="3:8">
      <c r="C19">
        <v>18</v>
      </c>
      <c r="D19" t="s">
        <v>166</v>
      </c>
      <c r="E19" s="36" t="s">
        <v>44</v>
      </c>
      <c r="F19" s="36">
        <v>15</v>
      </c>
      <c r="G19" t="s">
        <v>281</v>
      </c>
      <c r="H19" s="36" t="s">
        <v>44</v>
      </c>
    </row>
    <row r="20" spans="3:8">
      <c r="C20">
        <v>19</v>
      </c>
      <c r="D20" t="s">
        <v>167</v>
      </c>
      <c r="E20" s="36" t="s">
        <v>44</v>
      </c>
      <c r="F20" s="36">
        <v>16</v>
      </c>
      <c r="G20" t="s">
        <v>122</v>
      </c>
      <c r="H20" s="36" t="s">
        <v>44</v>
      </c>
    </row>
    <row r="21" spans="3:8">
      <c r="C21">
        <v>20</v>
      </c>
      <c r="D21" t="s">
        <v>168</v>
      </c>
      <c r="E21" s="36" t="s">
        <v>44</v>
      </c>
      <c r="F21" s="36"/>
      <c r="G21" s="3" t="s">
        <v>346</v>
      </c>
      <c r="H21" s="36" t="s">
        <v>44</v>
      </c>
    </row>
    <row r="22" spans="3:8">
      <c r="C22">
        <v>21</v>
      </c>
      <c r="D22" t="s">
        <v>169</v>
      </c>
      <c r="E22" s="36" t="s">
        <v>44</v>
      </c>
      <c r="F22" s="36"/>
      <c r="G22" s="3" t="s">
        <v>347</v>
      </c>
      <c r="H22" s="36"/>
    </row>
    <row r="23" spans="3:8">
      <c r="C23">
        <v>22</v>
      </c>
      <c r="D23" t="s">
        <v>348</v>
      </c>
      <c r="E23" s="36" t="s">
        <v>44</v>
      </c>
      <c r="F23" s="36"/>
      <c r="H23" s="36"/>
    </row>
    <row r="24" spans="3:8">
      <c r="C24">
        <v>23</v>
      </c>
      <c r="D24" t="s">
        <v>170</v>
      </c>
      <c r="E24" s="36" t="s">
        <v>44</v>
      </c>
      <c r="F24" s="36"/>
      <c r="H24" s="36"/>
    </row>
    <row r="25" spans="3:8">
      <c r="C25">
        <v>24</v>
      </c>
      <c r="D25" t="s">
        <v>172</v>
      </c>
      <c r="E25" s="36" t="s">
        <v>44</v>
      </c>
      <c r="F25" s="36"/>
      <c r="H25" s="36"/>
    </row>
    <row r="26" spans="3:8">
      <c r="C26">
        <v>25</v>
      </c>
      <c r="D26" t="s">
        <v>173</v>
      </c>
      <c r="E26" s="36" t="s">
        <v>44</v>
      </c>
      <c r="F26" s="36"/>
      <c r="H26" s="36"/>
    </row>
    <row r="27" spans="3:8">
      <c r="C27">
        <v>26</v>
      </c>
      <c r="D27" t="s">
        <v>174</v>
      </c>
      <c r="E27" s="36" t="s">
        <v>44</v>
      </c>
      <c r="F27" s="36"/>
      <c r="H27" s="36"/>
    </row>
    <row r="28" spans="3:8">
      <c r="C28">
        <v>27</v>
      </c>
      <c r="D28" t="s">
        <v>175</v>
      </c>
      <c r="E28" s="36" t="s">
        <v>44</v>
      </c>
      <c r="F28" s="36"/>
      <c r="H28" s="36"/>
    </row>
    <row r="29" spans="3:8">
      <c r="C29">
        <v>28</v>
      </c>
      <c r="D29" s="3" t="s">
        <v>349</v>
      </c>
      <c r="E29" s="36" t="s">
        <v>44</v>
      </c>
      <c r="F29" s="36"/>
      <c r="H29" s="36"/>
    </row>
    <row r="30" spans="3:8">
      <c r="C30">
        <v>29</v>
      </c>
      <c r="D30" s="3" t="s">
        <v>176</v>
      </c>
      <c r="E30" s="36" t="s">
        <v>44</v>
      </c>
      <c r="F30" s="36"/>
      <c r="H30" s="36"/>
    </row>
    <row r="31" spans="3:8">
      <c r="C31">
        <v>30</v>
      </c>
      <c r="D31" t="s">
        <v>171</v>
      </c>
      <c r="E31" s="36" t="s">
        <v>44</v>
      </c>
      <c r="F31" s="36"/>
    </row>
    <row r="32" spans="3:8">
      <c r="C32">
        <v>31</v>
      </c>
      <c r="D32" t="s">
        <v>238</v>
      </c>
      <c r="E32" s="36" t="s">
        <v>44</v>
      </c>
      <c r="F32" s="36"/>
      <c r="H32" s="36"/>
    </row>
    <row r="33" spans="1:16">
      <c r="C33">
        <v>32</v>
      </c>
      <c r="D33" t="s">
        <v>239</v>
      </c>
      <c r="E33" s="36" t="s">
        <v>44</v>
      </c>
      <c r="F33" s="36"/>
      <c r="H33" s="36"/>
    </row>
    <row r="34" spans="1:16">
      <c r="C34">
        <v>33</v>
      </c>
      <c r="D34" t="s">
        <v>203</v>
      </c>
      <c r="E34" s="36" t="s">
        <v>44</v>
      </c>
      <c r="F34" s="36"/>
      <c r="H34" s="36"/>
    </row>
    <row r="35" spans="1:16">
      <c r="D35" t="s">
        <v>229</v>
      </c>
      <c r="E35" s="36"/>
      <c r="F35" s="36"/>
      <c r="H35" s="36"/>
    </row>
    <row r="36" spans="1:16">
      <c r="D36" t="s">
        <v>350</v>
      </c>
      <c r="E36" s="36"/>
      <c r="F36" s="36"/>
      <c r="H36" s="36"/>
    </row>
    <row r="37" spans="1:16">
      <c r="D37" s="3" t="s">
        <v>351</v>
      </c>
      <c r="E37" s="36"/>
      <c r="F37" s="36"/>
      <c r="H37" s="36"/>
    </row>
    <row r="38" spans="1:16" s="1" customFormat="1">
      <c r="A38" s="1">
        <v>3</v>
      </c>
      <c r="B38" s="2" t="s">
        <v>9</v>
      </c>
      <c r="C38">
        <v>34</v>
      </c>
      <c r="D38" s="1" t="s">
        <v>177</v>
      </c>
      <c r="E38" s="36" t="s">
        <v>44</v>
      </c>
      <c r="F38" s="36">
        <v>17</v>
      </c>
      <c r="G38" s="1" t="s">
        <v>47</v>
      </c>
      <c r="H38" s="36" t="s">
        <v>44</v>
      </c>
      <c r="I38"/>
      <c r="J38"/>
      <c r="K38"/>
      <c r="L38"/>
      <c r="M38"/>
      <c r="N38"/>
      <c r="O38"/>
      <c r="P38"/>
    </row>
    <row r="39" spans="1:16">
      <c r="B39" s="53"/>
      <c r="C39">
        <v>35</v>
      </c>
      <c r="D39" t="s">
        <v>178</v>
      </c>
      <c r="E39" s="36" t="s">
        <v>44</v>
      </c>
      <c r="F39" s="36"/>
      <c r="G39" t="s">
        <v>283</v>
      </c>
      <c r="H39" s="36"/>
    </row>
    <row r="40" spans="1:16">
      <c r="B40" s="53"/>
      <c r="C40">
        <v>36</v>
      </c>
      <c r="D40" t="s">
        <v>179</v>
      </c>
      <c r="E40" s="36" t="s">
        <v>44</v>
      </c>
      <c r="F40" s="36"/>
      <c r="H40" s="36"/>
    </row>
    <row r="41" spans="1:16" s="7" customFormat="1">
      <c r="A41" s="7">
        <v>4</v>
      </c>
      <c r="B41" s="6" t="s">
        <v>10</v>
      </c>
      <c r="C41">
        <v>37</v>
      </c>
      <c r="D41" s="7" t="s">
        <v>180</v>
      </c>
      <c r="E41" s="36" t="s">
        <v>44</v>
      </c>
      <c r="F41" s="36">
        <v>18</v>
      </c>
      <c r="G41" s="7" t="s">
        <v>46</v>
      </c>
      <c r="H41" s="36" t="s">
        <v>44</v>
      </c>
      <c r="I41" s="56"/>
      <c r="J41" s="56"/>
      <c r="K41" s="56"/>
      <c r="L41" s="56"/>
      <c r="M41" s="56"/>
      <c r="N41" s="56"/>
      <c r="O41" s="56"/>
      <c r="P41" s="56"/>
    </row>
    <row r="42" spans="1:16">
      <c r="C42">
        <v>38</v>
      </c>
      <c r="D42" t="s">
        <v>181</v>
      </c>
      <c r="E42" s="36" t="s">
        <v>44</v>
      </c>
      <c r="F42" s="36">
        <v>19</v>
      </c>
      <c r="G42" t="s">
        <v>48</v>
      </c>
      <c r="H42" s="36" t="s">
        <v>44</v>
      </c>
    </row>
    <row r="43" spans="1:16">
      <c r="C43">
        <v>39</v>
      </c>
      <c r="D43" t="s">
        <v>182</v>
      </c>
      <c r="E43" s="36" t="s">
        <v>44</v>
      </c>
      <c r="F43" s="36">
        <v>20</v>
      </c>
      <c r="G43" t="s">
        <v>52</v>
      </c>
      <c r="H43" s="36" t="s">
        <v>44</v>
      </c>
    </row>
    <row r="44" spans="1:16">
      <c r="C44">
        <v>40</v>
      </c>
      <c r="D44" t="s">
        <v>183</v>
      </c>
      <c r="E44" s="36" t="s">
        <v>44</v>
      </c>
      <c r="F44" s="36"/>
      <c r="H44" s="36"/>
    </row>
    <row r="45" spans="1:16">
      <c r="C45">
        <v>41</v>
      </c>
      <c r="D45" t="s">
        <v>184</v>
      </c>
      <c r="E45" s="36" t="s">
        <v>44</v>
      </c>
      <c r="F45" s="36"/>
      <c r="H45" s="36"/>
    </row>
    <row r="46" spans="1:16" s="9" customFormat="1">
      <c r="A46" s="9">
        <v>5</v>
      </c>
      <c r="B46" s="8" t="s">
        <v>11</v>
      </c>
      <c r="C46">
        <v>42</v>
      </c>
      <c r="D46" s="9" t="s">
        <v>226</v>
      </c>
      <c r="E46" s="36" t="s">
        <v>44</v>
      </c>
      <c r="F46" s="36">
        <v>21</v>
      </c>
      <c r="G46" s="9" t="s">
        <v>130</v>
      </c>
      <c r="H46" s="36" t="s">
        <v>44</v>
      </c>
      <c r="I46"/>
      <c r="J46"/>
      <c r="K46"/>
      <c r="L46"/>
      <c r="M46"/>
      <c r="N46"/>
      <c r="O46"/>
      <c r="P46"/>
    </row>
    <row r="47" spans="1:16">
      <c r="C47">
        <v>43</v>
      </c>
      <c r="D47" t="s">
        <v>227</v>
      </c>
      <c r="E47" s="36" t="s">
        <v>44</v>
      </c>
      <c r="F47" s="36">
        <v>22</v>
      </c>
      <c r="G47" t="s">
        <v>12</v>
      </c>
      <c r="H47" s="36" t="s">
        <v>44</v>
      </c>
    </row>
    <row r="48" spans="1:16">
      <c r="C48">
        <v>44</v>
      </c>
      <c r="D48" t="s">
        <v>228</v>
      </c>
      <c r="E48" s="36" t="s">
        <v>44</v>
      </c>
      <c r="F48" s="36">
        <v>23</v>
      </c>
      <c r="G48" t="s">
        <v>137</v>
      </c>
      <c r="H48" s="36"/>
    </row>
    <row r="49" spans="1:16">
      <c r="C49">
        <v>45</v>
      </c>
      <c r="D49" t="s">
        <v>229</v>
      </c>
      <c r="E49" s="36" t="s">
        <v>44</v>
      </c>
      <c r="F49" s="36"/>
      <c r="H49" s="36"/>
    </row>
    <row r="50" spans="1:16">
      <c r="C50">
        <v>46</v>
      </c>
      <c r="D50" t="s">
        <v>230</v>
      </c>
      <c r="E50" s="36" t="s">
        <v>44</v>
      </c>
      <c r="F50" s="36"/>
      <c r="H50" s="36"/>
    </row>
    <row r="51" spans="1:16">
      <c r="C51">
        <v>47</v>
      </c>
      <c r="D51" t="s">
        <v>327</v>
      </c>
      <c r="E51" s="36" t="s">
        <v>44</v>
      </c>
      <c r="F51" s="36"/>
      <c r="H51" s="36" t="s">
        <v>44</v>
      </c>
    </row>
    <row r="52" spans="1:16" s="10" customFormat="1">
      <c r="A52" s="10">
        <v>6</v>
      </c>
      <c r="B52" s="11" t="s">
        <v>13</v>
      </c>
      <c r="C52">
        <v>48</v>
      </c>
      <c r="D52" s="10" t="s">
        <v>231</v>
      </c>
      <c r="E52" s="36" t="s">
        <v>44</v>
      </c>
      <c r="F52" s="36">
        <v>24</v>
      </c>
      <c r="G52" s="10" t="s">
        <v>14</v>
      </c>
      <c r="H52" s="36" t="s">
        <v>44</v>
      </c>
      <c r="I52"/>
      <c r="J52"/>
      <c r="K52"/>
      <c r="L52"/>
      <c r="M52"/>
      <c r="N52"/>
      <c r="O52"/>
      <c r="P52"/>
    </row>
    <row r="53" spans="1:16">
      <c r="C53">
        <v>49</v>
      </c>
      <c r="D53" t="s">
        <v>237</v>
      </c>
      <c r="E53" s="36" t="s">
        <v>44</v>
      </c>
      <c r="F53" s="36">
        <v>25</v>
      </c>
      <c r="G53" t="s">
        <v>53</v>
      </c>
      <c r="H53" s="36" t="s">
        <v>44</v>
      </c>
    </row>
    <row r="54" spans="1:16">
      <c r="C54">
        <v>50</v>
      </c>
      <c r="D54" t="s">
        <v>232</v>
      </c>
      <c r="E54" s="36" t="s">
        <v>44</v>
      </c>
      <c r="F54" s="36">
        <v>26</v>
      </c>
      <c r="G54" t="s">
        <v>49</v>
      </c>
      <c r="H54" s="36" t="s">
        <v>44</v>
      </c>
    </row>
    <row r="55" spans="1:16">
      <c r="C55">
        <v>51</v>
      </c>
      <c r="D55" t="s">
        <v>233</v>
      </c>
      <c r="E55" s="36" t="s">
        <v>44</v>
      </c>
      <c r="F55" s="36">
        <v>27</v>
      </c>
      <c r="G55" s="38" t="s">
        <v>129</v>
      </c>
      <c r="H55" s="36" t="s">
        <v>44</v>
      </c>
    </row>
    <row r="56" spans="1:16">
      <c r="C56">
        <v>52</v>
      </c>
      <c r="D56" t="s">
        <v>234</v>
      </c>
      <c r="E56" s="36" t="s">
        <v>44</v>
      </c>
      <c r="F56" s="36">
        <v>28</v>
      </c>
      <c r="G56" t="s">
        <v>54</v>
      </c>
      <c r="H56" s="36" t="s">
        <v>44</v>
      </c>
    </row>
    <row r="57" spans="1:16">
      <c r="C57">
        <v>53</v>
      </c>
      <c r="D57" t="s">
        <v>235</v>
      </c>
      <c r="E57" s="36" t="s">
        <v>44</v>
      </c>
      <c r="F57" s="36"/>
      <c r="G57" s="37"/>
      <c r="H57" s="36"/>
    </row>
    <row r="58" spans="1:16">
      <c r="C58">
        <v>54</v>
      </c>
      <c r="D58" t="s">
        <v>236</v>
      </c>
      <c r="E58" s="36" t="s">
        <v>44</v>
      </c>
      <c r="F58" s="36"/>
      <c r="G58" s="37"/>
      <c r="H58" s="36"/>
    </row>
    <row r="59" spans="1:16" s="28" customFormat="1">
      <c r="A59" s="28">
        <v>7</v>
      </c>
      <c r="B59" s="32" t="s">
        <v>39</v>
      </c>
      <c r="C59">
        <v>55</v>
      </c>
      <c r="D59" s="28" t="s">
        <v>216</v>
      </c>
      <c r="E59" s="36" t="s">
        <v>44</v>
      </c>
      <c r="F59" s="36">
        <v>29</v>
      </c>
      <c r="G59" s="28" t="s">
        <v>59</v>
      </c>
      <c r="H59" s="36" t="s">
        <v>44</v>
      </c>
      <c r="I59"/>
      <c r="J59"/>
      <c r="K59"/>
      <c r="L59"/>
      <c r="M59"/>
      <c r="N59"/>
      <c r="O59"/>
      <c r="P59"/>
    </row>
    <row r="60" spans="1:16">
      <c r="B60" s="53"/>
      <c r="C60">
        <v>56</v>
      </c>
      <c r="D60" t="s">
        <v>217</v>
      </c>
      <c r="E60" s="36" t="s">
        <v>44</v>
      </c>
      <c r="F60" s="36"/>
      <c r="H60" s="36"/>
    </row>
    <row r="61" spans="1:16">
      <c r="B61" s="53"/>
      <c r="C61">
        <v>57</v>
      </c>
      <c r="D61" t="s">
        <v>218</v>
      </c>
      <c r="E61" s="36" t="s">
        <v>44</v>
      </c>
      <c r="F61" s="36"/>
      <c r="H61" s="36"/>
    </row>
    <row r="62" spans="1:16">
      <c r="B62" s="53"/>
      <c r="C62">
        <v>58</v>
      </c>
      <c r="D62" t="s">
        <v>219</v>
      </c>
      <c r="E62" s="36" t="s">
        <v>44</v>
      </c>
      <c r="F62" s="36"/>
      <c r="H62" s="36"/>
    </row>
    <row r="63" spans="1:16">
      <c r="B63" s="53"/>
      <c r="C63">
        <v>59</v>
      </c>
      <c r="D63" t="s">
        <v>220</v>
      </c>
      <c r="E63" s="36" t="s">
        <v>44</v>
      </c>
      <c r="F63" s="36"/>
      <c r="H63" s="36"/>
    </row>
    <row r="64" spans="1:16">
      <c r="B64" s="53"/>
      <c r="C64">
        <v>60</v>
      </c>
      <c r="D64" t="s">
        <v>221</v>
      </c>
      <c r="E64" s="36" t="s">
        <v>44</v>
      </c>
      <c r="F64" s="36"/>
      <c r="H64" s="36"/>
    </row>
    <row r="65" spans="1:16">
      <c r="B65" s="53"/>
      <c r="C65">
        <v>61</v>
      </c>
      <c r="D65" s="53" t="s">
        <v>223</v>
      </c>
      <c r="E65" s="36" t="s">
        <v>44</v>
      </c>
      <c r="F65" s="36"/>
      <c r="H65" s="36"/>
    </row>
    <row r="66" spans="1:16">
      <c r="B66" s="53"/>
      <c r="C66">
        <v>62</v>
      </c>
      <c r="D66" t="s">
        <v>224</v>
      </c>
      <c r="E66" s="36" t="s">
        <v>44</v>
      </c>
      <c r="F66" s="36"/>
      <c r="H66" s="36"/>
    </row>
    <row r="67" spans="1:16">
      <c r="B67" s="53"/>
      <c r="C67">
        <v>63</v>
      </c>
      <c r="D67" t="s">
        <v>225</v>
      </c>
      <c r="E67" s="36" t="s">
        <v>44</v>
      </c>
      <c r="F67" s="36"/>
      <c r="H67" s="36"/>
    </row>
    <row r="68" spans="1:16">
      <c r="B68" s="53"/>
      <c r="C68">
        <v>64</v>
      </c>
      <c r="D68" t="s">
        <v>222</v>
      </c>
      <c r="E68" s="36" t="s">
        <v>44</v>
      </c>
      <c r="F68" s="36"/>
      <c r="H68" s="36"/>
    </row>
    <row r="69" spans="1:16" s="13" customFormat="1">
      <c r="A69" s="13">
        <v>8</v>
      </c>
      <c r="B69" s="12" t="s">
        <v>15</v>
      </c>
      <c r="C69">
        <v>65</v>
      </c>
      <c r="D69" s="13" t="s">
        <v>240</v>
      </c>
      <c r="E69" s="36" t="s">
        <v>44</v>
      </c>
      <c r="F69" s="36">
        <v>30</v>
      </c>
      <c r="G69" s="13" t="s">
        <v>16</v>
      </c>
      <c r="H69" s="36" t="s">
        <v>44</v>
      </c>
      <c r="I69"/>
      <c r="J69"/>
      <c r="K69"/>
      <c r="L69"/>
      <c r="M69"/>
      <c r="N69"/>
      <c r="O69"/>
      <c r="P69"/>
    </row>
    <row r="70" spans="1:16">
      <c r="C70">
        <v>66</v>
      </c>
      <c r="D70" t="s">
        <v>241</v>
      </c>
      <c r="E70" s="36" t="s">
        <v>44</v>
      </c>
      <c r="F70" s="36">
        <v>31</v>
      </c>
      <c r="G70" t="s">
        <v>17</v>
      </c>
      <c r="H70" s="36" t="s">
        <v>44</v>
      </c>
    </row>
    <row r="71" spans="1:16">
      <c r="C71">
        <v>67</v>
      </c>
      <c r="D71" t="s">
        <v>242</v>
      </c>
      <c r="E71" s="36" t="s">
        <v>44</v>
      </c>
      <c r="F71" s="36">
        <v>32</v>
      </c>
      <c r="G71" t="s">
        <v>61</v>
      </c>
      <c r="H71" s="36" t="s">
        <v>44</v>
      </c>
    </row>
    <row r="72" spans="1:16">
      <c r="C72">
        <v>68</v>
      </c>
      <c r="D72" t="s">
        <v>243</v>
      </c>
      <c r="E72" s="36" t="s">
        <v>44</v>
      </c>
      <c r="F72" s="36">
        <v>33</v>
      </c>
      <c r="G72" t="s">
        <v>124</v>
      </c>
      <c r="H72" s="36" t="s">
        <v>44</v>
      </c>
    </row>
    <row r="73" spans="1:16">
      <c r="C73">
        <v>69</v>
      </c>
      <c r="D73" t="s">
        <v>244</v>
      </c>
      <c r="E73" s="36" t="s">
        <v>44</v>
      </c>
      <c r="F73" s="36">
        <v>34</v>
      </c>
      <c r="G73" t="s">
        <v>60</v>
      </c>
      <c r="H73" s="36" t="s">
        <v>44</v>
      </c>
    </row>
    <row r="74" spans="1:16">
      <c r="C74">
        <v>70</v>
      </c>
      <c r="D74" t="s">
        <v>245</v>
      </c>
      <c r="E74" s="36" t="s">
        <v>44</v>
      </c>
      <c r="F74" s="36">
        <v>35</v>
      </c>
      <c r="G74" t="s">
        <v>127</v>
      </c>
      <c r="H74" s="36" t="s">
        <v>44</v>
      </c>
    </row>
    <row r="75" spans="1:16">
      <c r="C75">
        <v>71</v>
      </c>
      <c r="D75" s="37" t="s">
        <v>247</v>
      </c>
      <c r="E75" s="36" t="s">
        <v>44</v>
      </c>
      <c r="F75" s="36">
        <v>36</v>
      </c>
      <c r="G75" t="s">
        <v>126</v>
      </c>
      <c r="H75" s="36" t="s">
        <v>44</v>
      </c>
    </row>
    <row r="76" spans="1:16">
      <c r="C76">
        <v>72</v>
      </c>
      <c r="D76" t="s">
        <v>248</v>
      </c>
      <c r="E76" s="36" t="s">
        <v>44</v>
      </c>
      <c r="F76" s="36"/>
      <c r="H76" s="36"/>
    </row>
    <row r="77" spans="1:16">
      <c r="C77">
        <v>73</v>
      </c>
      <c r="D77" t="s">
        <v>246</v>
      </c>
      <c r="E77" s="36" t="s">
        <v>44</v>
      </c>
      <c r="F77" s="36"/>
    </row>
    <row r="78" spans="1:16">
      <c r="C78">
        <v>74</v>
      </c>
      <c r="D78" t="s">
        <v>249</v>
      </c>
      <c r="E78" s="36" t="s">
        <v>44</v>
      </c>
      <c r="F78" s="36"/>
    </row>
    <row r="79" spans="1:16" s="15" customFormat="1">
      <c r="A79" s="15">
        <v>9</v>
      </c>
      <c r="B79" s="14" t="s">
        <v>18</v>
      </c>
      <c r="C79">
        <v>75</v>
      </c>
      <c r="D79" s="15" t="s">
        <v>250</v>
      </c>
      <c r="E79" s="36" t="s">
        <v>44</v>
      </c>
      <c r="F79" s="36">
        <v>37</v>
      </c>
      <c r="G79" s="15" t="s">
        <v>19</v>
      </c>
      <c r="H79" s="36" t="s">
        <v>44</v>
      </c>
      <c r="I79"/>
      <c r="J79"/>
      <c r="K79"/>
      <c r="L79"/>
      <c r="M79"/>
      <c r="N79"/>
      <c r="O79"/>
      <c r="P79"/>
    </row>
    <row r="80" spans="1:16">
      <c r="C80">
        <v>76</v>
      </c>
      <c r="D80" t="s">
        <v>251</v>
      </c>
      <c r="E80" s="36" t="s">
        <v>44</v>
      </c>
      <c r="F80" s="36">
        <v>38</v>
      </c>
      <c r="G80" t="s">
        <v>62</v>
      </c>
      <c r="H80" s="36" t="s">
        <v>44</v>
      </c>
    </row>
    <row r="81" spans="1:16">
      <c r="C81">
        <v>77</v>
      </c>
      <c r="D81" t="s">
        <v>252</v>
      </c>
      <c r="E81" s="36" t="s">
        <v>44</v>
      </c>
      <c r="F81" s="36">
        <v>39</v>
      </c>
      <c r="G81" s="3" t="s">
        <v>270</v>
      </c>
      <c r="H81" s="36" t="s">
        <v>44</v>
      </c>
    </row>
    <row r="82" spans="1:16">
      <c r="C82">
        <v>78</v>
      </c>
      <c r="D82" t="s">
        <v>253</v>
      </c>
      <c r="E82" s="36" t="s">
        <v>44</v>
      </c>
      <c r="F82" s="36">
        <v>40</v>
      </c>
      <c r="G82" t="s">
        <v>20</v>
      </c>
      <c r="H82" s="36" t="s">
        <v>44</v>
      </c>
    </row>
    <row r="83" spans="1:16">
      <c r="C83">
        <v>79</v>
      </c>
      <c r="D83" t="s">
        <v>254</v>
      </c>
      <c r="E83" s="36" t="s">
        <v>44</v>
      </c>
      <c r="F83" s="36">
        <v>41</v>
      </c>
      <c r="G83" t="s">
        <v>21</v>
      </c>
      <c r="H83" s="36" t="s">
        <v>44</v>
      </c>
    </row>
    <row r="84" spans="1:16" s="17" customFormat="1">
      <c r="A84" s="17">
        <v>10</v>
      </c>
      <c r="B84" s="16" t="s">
        <v>23</v>
      </c>
      <c r="C84">
        <v>80</v>
      </c>
      <c r="D84" s="17" t="s">
        <v>255</v>
      </c>
      <c r="E84" s="36" t="s">
        <v>44</v>
      </c>
      <c r="F84" s="36">
        <v>42</v>
      </c>
      <c r="G84" s="17" t="s">
        <v>277</v>
      </c>
      <c r="H84" s="36" t="s">
        <v>44</v>
      </c>
      <c r="I84"/>
      <c r="J84"/>
      <c r="K84"/>
      <c r="L84"/>
      <c r="M84"/>
      <c r="N84"/>
      <c r="O84"/>
      <c r="P84"/>
    </row>
    <row r="85" spans="1:16">
      <c r="B85" s="53"/>
      <c r="C85">
        <v>81</v>
      </c>
      <c r="D85" t="s">
        <v>256</v>
      </c>
      <c r="E85" s="36" t="s">
        <v>44</v>
      </c>
      <c r="F85" s="36">
        <v>43</v>
      </c>
      <c r="G85" t="s">
        <v>24</v>
      </c>
      <c r="H85" s="36" t="s">
        <v>44</v>
      </c>
    </row>
    <row r="86" spans="1:16">
      <c r="B86" s="53"/>
      <c r="C86">
        <v>82</v>
      </c>
      <c r="D86" t="s">
        <v>257</v>
      </c>
      <c r="E86" s="36" t="s">
        <v>44</v>
      </c>
      <c r="F86" s="36"/>
      <c r="H86" s="36"/>
    </row>
    <row r="87" spans="1:16" s="18" customFormat="1">
      <c r="A87" s="18">
        <v>11</v>
      </c>
      <c r="B87" s="19" t="s">
        <v>25</v>
      </c>
      <c r="C87">
        <v>83</v>
      </c>
      <c r="D87" s="18" t="s">
        <v>258</v>
      </c>
      <c r="E87" s="36" t="s">
        <v>44</v>
      </c>
      <c r="F87" s="36">
        <v>44</v>
      </c>
      <c r="G87" s="18" t="s">
        <v>278</v>
      </c>
      <c r="H87" s="36" t="s">
        <v>44</v>
      </c>
      <c r="I87"/>
      <c r="J87"/>
      <c r="K87"/>
      <c r="L87"/>
      <c r="M87"/>
      <c r="N87"/>
      <c r="O87"/>
      <c r="P87"/>
    </row>
    <row r="88" spans="1:16">
      <c r="C88">
        <v>84</v>
      </c>
      <c r="D88" t="s">
        <v>259</v>
      </c>
      <c r="E88" s="36" t="s">
        <v>44</v>
      </c>
      <c r="F88" s="36">
        <v>45</v>
      </c>
      <c r="G88" t="s">
        <v>26</v>
      </c>
      <c r="H88" s="36" t="s">
        <v>44</v>
      </c>
    </row>
    <row r="89" spans="1:16">
      <c r="C89">
        <v>85</v>
      </c>
      <c r="D89" t="s">
        <v>260</v>
      </c>
      <c r="E89" s="36" t="s">
        <v>44</v>
      </c>
      <c r="F89" s="36">
        <v>46</v>
      </c>
      <c r="G89" t="s">
        <v>279</v>
      </c>
      <c r="H89" s="36" t="s">
        <v>44</v>
      </c>
    </row>
    <row r="90" spans="1:16">
      <c r="C90">
        <v>86</v>
      </c>
      <c r="D90" t="s">
        <v>261</v>
      </c>
      <c r="E90" s="36" t="s">
        <v>44</v>
      </c>
      <c r="F90" s="36">
        <v>47</v>
      </c>
      <c r="G90" s="3" t="s">
        <v>31</v>
      </c>
      <c r="H90" s="36" t="s">
        <v>44</v>
      </c>
    </row>
    <row r="91" spans="1:16">
      <c r="C91">
        <v>87</v>
      </c>
      <c r="D91" t="s">
        <v>229</v>
      </c>
      <c r="E91" s="36" t="s">
        <v>44</v>
      </c>
      <c r="F91" s="36">
        <v>48</v>
      </c>
      <c r="G91" t="s">
        <v>27</v>
      </c>
      <c r="H91" s="36" t="s">
        <v>44</v>
      </c>
    </row>
    <row r="92" spans="1:16">
      <c r="C92">
        <v>88</v>
      </c>
      <c r="D92" s="3" t="s">
        <v>263</v>
      </c>
      <c r="E92" s="36" t="s">
        <v>44</v>
      </c>
      <c r="F92" s="36">
        <v>49</v>
      </c>
      <c r="G92" t="s">
        <v>67</v>
      </c>
      <c r="H92" s="36" t="s">
        <v>44</v>
      </c>
    </row>
    <row r="93" spans="1:16">
      <c r="C93">
        <v>89</v>
      </c>
      <c r="D93" t="s">
        <v>264</v>
      </c>
      <c r="E93" s="36" t="s">
        <v>44</v>
      </c>
      <c r="F93" s="36">
        <v>50</v>
      </c>
      <c r="G93" s="3" t="s">
        <v>133</v>
      </c>
      <c r="H93" s="36" t="s">
        <v>44</v>
      </c>
    </row>
    <row r="94" spans="1:16">
      <c r="D94" s="37" t="s">
        <v>374</v>
      </c>
      <c r="E94" s="36"/>
      <c r="F94" s="36"/>
      <c r="G94" s="3"/>
      <c r="H94" s="36"/>
    </row>
    <row r="95" spans="1:16">
      <c r="D95" s="37" t="s">
        <v>375</v>
      </c>
      <c r="E95" s="36"/>
      <c r="F95" s="36"/>
      <c r="G95" s="3"/>
      <c r="H95" s="36"/>
    </row>
    <row r="96" spans="1:16">
      <c r="D96" s="37" t="s">
        <v>376</v>
      </c>
      <c r="E96" s="36"/>
      <c r="F96" s="36"/>
      <c r="G96" s="3"/>
      <c r="H96" s="36"/>
    </row>
    <row r="97" spans="1:16">
      <c r="D97" s="37" t="s">
        <v>377</v>
      </c>
      <c r="E97" s="36"/>
      <c r="F97" s="36"/>
      <c r="G97" s="3"/>
      <c r="H97" s="36"/>
    </row>
    <row r="98" spans="1:16">
      <c r="D98" t="s">
        <v>311</v>
      </c>
      <c r="E98" s="36"/>
      <c r="F98" s="36"/>
      <c r="G98" s="3"/>
      <c r="H98" s="36"/>
    </row>
    <row r="99" spans="1:16">
      <c r="D99" s="37" t="s">
        <v>383</v>
      </c>
      <c r="E99" s="36"/>
      <c r="F99" s="36"/>
      <c r="G99" s="3"/>
      <c r="H99" s="36"/>
    </row>
    <row r="100" spans="1:16">
      <c r="D100" t="s">
        <v>384</v>
      </c>
      <c r="E100" s="36"/>
      <c r="F100" s="36"/>
      <c r="G100" s="3"/>
      <c r="H100" s="36"/>
    </row>
    <row r="101" spans="1:16" s="29" customFormat="1">
      <c r="A101" s="29">
        <v>12</v>
      </c>
      <c r="B101" s="30" t="s">
        <v>28</v>
      </c>
      <c r="C101">
        <v>74</v>
      </c>
      <c r="D101" s="30" t="s">
        <v>205</v>
      </c>
      <c r="E101" s="36" t="s">
        <v>44</v>
      </c>
      <c r="F101" s="36">
        <v>51</v>
      </c>
      <c r="G101" s="29" t="s">
        <v>51</v>
      </c>
      <c r="H101" s="36" t="s">
        <v>44</v>
      </c>
      <c r="I101"/>
      <c r="J101"/>
      <c r="K101"/>
      <c r="L101"/>
      <c r="M101"/>
      <c r="N101"/>
      <c r="O101"/>
      <c r="P101"/>
    </row>
    <row r="102" spans="1:16">
      <c r="C102">
        <v>75</v>
      </c>
      <c r="D102" t="s">
        <v>210</v>
      </c>
      <c r="E102" s="36" t="s">
        <v>44</v>
      </c>
      <c r="F102" s="36">
        <v>52</v>
      </c>
      <c r="G102" t="s">
        <v>29</v>
      </c>
      <c r="H102" s="36" t="s">
        <v>44</v>
      </c>
    </row>
    <row r="103" spans="1:16">
      <c r="C103">
        <v>76</v>
      </c>
      <c r="D103" t="s">
        <v>211</v>
      </c>
      <c r="E103" s="36" t="s">
        <v>44</v>
      </c>
      <c r="F103" s="36">
        <v>53</v>
      </c>
      <c r="G103" s="3" t="s">
        <v>30</v>
      </c>
      <c r="H103" s="36" t="s">
        <v>44</v>
      </c>
    </row>
    <row r="104" spans="1:16">
      <c r="C104">
        <v>77</v>
      </c>
      <c r="D104" t="s">
        <v>212</v>
      </c>
      <c r="E104" s="36" t="s">
        <v>44</v>
      </c>
      <c r="F104" s="36">
        <v>54</v>
      </c>
      <c r="G104" t="s">
        <v>36</v>
      </c>
      <c r="H104" s="36" t="s">
        <v>44</v>
      </c>
    </row>
    <row r="105" spans="1:16">
      <c r="C105">
        <v>78</v>
      </c>
      <c r="D105" t="s">
        <v>207</v>
      </c>
      <c r="E105" s="36" t="s">
        <v>44</v>
      </c>
      <c r="F105" s="36">
        <v>55</v>
      </c>
      <c r="G105" t="s">
        <v>66</v>
      </c>
      <c r="H105" s="36" t="s">
        <v>44</v>
      </c>
    </row>
    <row r="106" spans="1:16">
      <c r="C106">
        <v>79</v>
      </c>
      <c r="D106" s="3" t="s">
        <v>206</v>
      </c>
      <c r="E106" s="36" t="s">
        <v>44</v>
      </c>
      <c r="F106" s="36"/>
      <c r="H106" s="36"/>
    </row>
    <row r="107" spans="1:16">
      <c r="C107">
        <v>80</v>
      </c>
      <c r="D107" t="s">
        <v>208</v>
      </c>
      <c r="E107" s="36" t="s">
        <v>44</v>
      </c>
      <c r="F107" s="36"/>
      <c r="H107" s="36"/>
    </row>
    <row r="108" spans="1:16">
      <c r="C108">
        <v>81</v>
      </c>
      <c r="D108" t="s">
        <v>209</v>
      </c>
      <c r="E108" s="36" t="s">
        <v>44</v>
      </c>
      <c r="F108" s="36"/>
      <c r="H108" s="36"/>
    </row>
    <row r="109" spans="1:16">
      <c r="C109">
        <v>82</v>
      </c>
      <c r="D109" t="s">
        <v>214</v>
      </c>
      <c r="E109" s="36" t="s">
        <v>44</v>
      </c>
      <c r="F109" s="36"/>
      <c r="H109" s="36"/>
    </row>
    <row r="110" spans="1:16">
      <c r="C110">
        <v>83</v>
      </c>
      <c r="D110" t="s">
        <v>215</v>
      </c>
      <c r="E110" s="36" t="s">
        <v>44</v>
      </c>
      <c r="F110" s="36"/>
      <c r="H110" s="36"/>
    </row>
    <row r="111" spans="1:16">
      <c r="C111">
        <v>84</v>
      </c>
      <c r="D111" t="s">
        <v>213</v>
      </c>
      <c r="E111" s="36" t="s">
        <v>44</v>
      </c>
      <c r="F111" s="36"/>
      <c r="H111" s="36"/>
    </row>
    <row r="112" spans="1:16" s="20" customFormat="1">
      <c r="A112" s="20">
        <v>13</v>
      </c>
      <c r="B112" s="21" t="s">
        <v>32</v>
      </c>
      <c r="C112">
        <v>85</v>
      </c>
      <c r="D112" s="20" t="s">
        <v>262</v>
      </c>
      <c r="E112" s="36" t="s">
        <v>44</v>
      </c>
      <c r="F112" s="36">
        <v>56</v>
      </c>
      <c r="G112" s="20" t="s">
        <v>147</v>
      </c>
      <c r="H112" s="36" t="s">
        <v>44</v>
      </c>
      <c r="I112"/>
      <c r="J112"/>
      <c r="K112"/>
      <c r="L112"/>
      <c r="M112"/>
      <c r="N112"/>
      <c r="O112"/>
      <c r="P112"/>
    </row>
    <row r="113" spans="1:16" ht="28.8">
      <c r="F113" s="36">
        <v>57</v>
      </c>
      <c r="G113" s="37" t="s">
        <v>272</v>
      </c>
      <c r="H113" s="36" t="s">
        <v>44</v>
      </c>
    </row>
    <row r="114" spans="1:16">
      <c r="F114" s="36">
        <v>58</v>
      </c>
      <c r="G114" s="3" t="s">
        <v>268</v>
      </c>
      <c r="H114" s="36" t="s">
        <v>44</v>
      </c>
    </row>
    <row r="115" spans="1:16">
      <c r="F115" s="36">
        <v>59</v>
      </c>
      <c r="G115" s="3" t="s">
        <v>123</v>
      </c>
      <c r="H115" s="36" t="s">
        <v>44</v>
      </c>
    </row>
    <row r="116" spans="1:16">
      <c r="F116" s="36">
        <v>60</v>
      </c>
      <c r="G116" t="s">
        <v>148</v>
      </c>
      <c r="H116" s="36" t="s">
        <v>44</v>
      </c>
    </row>
    <row r="117" spans="1:16" s="22" customFormat="1">
      <c r="A117" s="22">
        <v>14</v>
      </c>
      <c r="B117" s="23" t="s">
        <v>33</v>
      </c>
      <c r="C117">
        <v>86</v>
      </c>
      <c r="F117" s="36">
        <v>61</v>
      </c>
      <c r="G117" s="22" t="s">
        <v>138</v>
      </c>
      <c r="H117" s="36" t="s">
        <v>44</v>
      </c>
      <c r="I117"/>
      <c r="J117"/>
      <c r="K117"/>
      <c r="L117"/>
      <c r="M117"/>
      <c r="N117"/>
      <c r="O117"/>
      <c r="P117"/>
    </row>
    <row r="118" spans="1:16">
      <c r="C118">
        <v>87</v>
      </c>
      <c r="F118" s="36">
        <v>62</v>
      </c>
      <c r="G118" t="s">
        <v>121</v>
      </c>
      <c r="H118" s="36" t="s">
        <v>44</v>
      </c>
    </row>
    <row r="119" spans="1:16">
      <c r="C119">
        <v>88</v>
      </c>
      <c r="F119" s="36">
        <v>63</v>
      </c>
      <c r="G119" t="s">
        <v>141</v>
      </c>
      <c r="H119" s="36" t="s">
        <v>44</v>
      </c>
    </row>
    <row r="120" spans="1:16">
      <c r="C120">
        <v>89</v>
      </c>
      <c r="F120" s="36">
        <v>64</v>
      </c>
      <c r="G120" s="3" t="s">
        <v>125</v>
      </c>
      <c r="H120" s="36" t="s">
        <v>44</v>
      </c>
    </row>
    <row r="121" spans="1:16">
      <c r="C121">
        <v>90</v>
      </c>
      <c r="F121" s="36">
        <v>65</v>
      </c>
      <c r="G121" t="s">
        <v>56</v>
      </c>
      <c r="H121" s="36" t="s">
        <v>44</v>
      </c>
    </row>
    <row r="122" spans="1:16">
      <c r="C122">
        <v>91</v>
      </c>
    </row>
    <row r="123" spans="1:16" s="24" customFormat="1">
      <c r="A123" s="24">
        <v>15</v>
      </c>
      <c r="B123" s="25" t="s">
        <v>58</v>
      </c>
      <c r="C123">
        <v>92</v>
      </c>
      <c r="F123">
        <v>66</v>
      </c>
      <c r="G123" s="24" t="s">
        <v>132</v>
      </c>
      <c r="H123" s="36" t="s">
        <v>44</v>
      </c>
      <c r="I123"/>
      <c r="J123"/>
      <c r="K123"/>
      <c r="L123"/>
      <c r="M123"/>
      <c r="N123"/>
      <c r="O123"/>
      <c r="P123"/>
    </row>
    <row r="124" spans="1:16">
      <c r="C124">
        <v>93</v>
      </c>
      <c r="F124">
        <v>67</v>
      </c>
      <c r="G124" t="s">
        <v>56</v>
      </c>
      <c r="H124" s="36" t="s">
        <v>44</v>
      </c>
    </row>
    <row r="125" spans="1:16" s="39" customFormat="1">
      <c r="B125" s="52" t="s">
        <v>57</v>
      </c>
      <c r="C125">
        <v>94</v>
      </c>
      <c r="D125" s="39" t="s">
        <v>263</v>
      </c>
      <c r="E125" s="36" t="s">
        <v>44</v>
      </c>
      <c r="F125">
        <v>68</v>
      </c>
      <c r="G125" s="40" t="s">
        <v>269</v>
      </c>
      <c r="H125" s="36" t="s">
        <v>44</v>
      </c>
      <c r="I125"/>
      <c r="J125"/>
      <c r="K125"/>
      <c r="L125"/>
      <c r="M125"/>
      <c r="N125"/>
      <c r="O125"/>
      <c r="P125"/>
    </row>
    <row r="126" spans="1:16">
      <c r="C126">
        <v>95</v>
      </c>
      <c r="D126" t="s">
        <v>265</v>
      </c>
      <c r="E126" s="36" t="s">
        <v>44</v>
      </c>
      <c r="F126">
        <v>69</v>
      </c>
      <c r="G126" t="s">
        <v>12</v>
      </c>
      <c r="H126" s="36" t="s">
        <v>44</v>
      </c>
    </row>
    <row r="127" spans="1:16">
      <c r="C127">
        <v>96</v>
      </c>
      <c r="D127" t="s">
        <v>271</v>
      </c>
      <c r="E127" s="36" t="s">
        <v>44</v>
      </c>
      <c r="F127">
        <v>70</v>
      </c>
      <c r="G127" t="s">
        <v>139</v>
      </c>
      <c r="H127" s="36" t="s">
        <v>44</v>
      </c>
    </row>
    <row r="128" spans="1:16">
      <c r="C128">
        <v>97</v>
      </c>
      <c r="D128" t="s">
        <v>328</v>
      </c>
      <c r="E128" s="36" t="s">
        <v>44</v>
      </c>
      <c r="F128">
        <v>71</v>
      </c>
      <c r="G128" s="3" t="s">
        <v>266</v>
      </c>
      <c r="H128" s="36" t="s">
        <v>44</v>
      </c>
    </row>
    <row r="129" spans="1:16">
      <c r="F129">
        <v>72</v>
      </c>
      <c r="G129" t="s">
        <v>34</v>
      </c>
      <c r="H129" s="36" t="s">
        <v>44</v>
      </c>
    </row>
    <row r="130" spans="1:16" s="26" customFormat="1">
      <c r="A130" s="26">
        <v>16</v>
      </c>
      <c r="B130" s="27" t="s">
        <v>35</v>
      </c>
      <c r="C130">
        <v>98</v>
      </c>
      <c r="D130" s="26" t="s">
        <v>185</v>
      </c>
      <c r="E130" s="36" t="s">
        <v>44</v>
      </c>
      <c r="F130">
        <v>73</v>
      </c>
      <c r="G130" s="26" t="s">
        <v>55</v>
      </c>
      <c r="H130" s="36" t="s">
        <v>44</v>
      </c>
      <c r="I130"/>
      <c r="J130"/>
      <c r="K130"/>
      <c r="L130"/>
      <c r="M130"/>
      <c r="N130"/>
      <c r="O130"/>
      <c r="P130"/>
    </row>
    <row r="131" spans="1:16">
      <c r="C131">
        <v>99</v>
      </c>
      <c r="D131" t="s">
        <v>186</v>
      </c>
      <c r="E131" s="36" t="s">
        <v>44</v>
      </c>
      <c r="F131">
        <v>74</v>
      </c>
      <c r="G131" t="s">
        <v>37</v>
      </c>
      <c r="H131" s="36" t="s">
        <v>44</v>
      </c>
    </row>
    <row r="132" spans="1:16">
      <c r="C132">
        <v>100</v>
      </c>
      <c r="D132" t="s">
        <v>187</v>
      </c>
      <c r="E132" s="36" t="s">
        <v>44</v>
      </c>
      <c r="F132">
        <v>75</v>
      </c>
      <c r="G132" t="s">
        <v>50</v>
      </c>
      <c r="H132" s="36" t="s">
        <v>44</v>
      </c>
    </row>
    <row r="133" spans="1:16">
      <c r="C133">
        <v>101</v>
      </c>
      <c r="D133" t="s">
        <v>188</v>
      </c>
      <c r="E133" s="36" t="s">
        <v>44</v>
      </c>
      <c r="F133">
        <v>76</v>
      </c>
      <c r="G133" t="s">
        <v>38</v>
      </c>
      <c r="H133" s="36" t="s">
        <v>44</v>
      </c>
    </row>
    <row r="134" spans="1:16">
      <c r="C134">
        <v>102</v>
      </c>
      <c r="D134" t="s">
        <v>189</v>
      </c>
      <c r="E134" s="36" t="s">
        <v>44</v>
      </c>
      <c r="F134">
        <v>77</v>
      </c>
      <c r="G134" t="s">
        <v>131</v>
      </c>
      <c r="H134" s="36" t="s">
        <v>44</v>
      </c>
    </row>
    <row r="135" spans="1:16">
      <c r="C135">
        <v>103</v>
      </c>
      <c r="D135" t="s">
        <v>190</v>
      </c>
      <c r="E135" s="36" t="s">
        <v>44</v>
      </c>
      <c r="F135">
        <v>78</v>
      </c>
      <c r="G135" s="3" t="s">
        <v>134</v>
      </c>
      <c r="H135" s="36" t="s">
        <v>44</v>
      </c>
    </row>
    <row r="136" spans="1:16">
      <c r="C136">
        <v>104</v>
      </c>
      <c r="D136" t="s">
        <v>192</v>
      </c>
      <c r="E136" s="36" t="s">
        <v>44</v>
      </c>
      <c r="F136" s="36"/>
      <c r="H136" s="36"/>
    </row>
    <row r="137" spans="1:16">
      <c r="C137">
        <v>105</v>
      </c>
      <c r="D137" t="s">
        <v>191</v>
      </c>
      <c r="E137" s="36" t="s">
        <v>44</v>
      </c>
      <c r="F137" s="36"/>
    </row>
    <row r="138" spans="1:16">
      <c r="C138">
        <v>106</v>
      </c>
      <c r="D138" t="s">
        <v>193</v>
      </c>
      <c r="E138" s="36" t="s">
        <v>44</v>
      </c>
      <c r="F138" s="36"/>
    </row>
    <row r="139" spans="1:16">
      <c r="C139">
        <v>107</v>
      </c>
      <c r="D139" t="s">
        <v>194</v>
      </c>
      <c r="E139" s="36" t="s">
        <v>44</v>
      </c>
      <c r="F139" s="36"/>
    </row>
    <row r="140" spans="1:16" s="31" customFormat="1">
      <c r="A140" s="31">
        <v>17</v>
      </c>
      <c r="B140" s="33" t="s">
        <v>41</v>
      </c>
      <c r="C140">
        <v>108</v>
      </c>
      <c r="D140" s="31" t="s">
        <v>195</v>
      </c>
      <c r="E140" s="36" t="s">
        <v>44</v>
      </c>
      <c r="F140" s="36">
        <v>79</v>
      </c>
      <c r="G140" s="33" t="s">
        <v>140</v>
      </c>
      <c r="H140" s="36" t="s">
        <v>44</v>
      </c>
      <c r="I140"/>
      <c r="J140"/>
      <c r="K140"/>
      <c r="L140"/>
      <c r="M140"/>
      <c r="N140"/>
      <c r="O140"/>
      <c r="P140"/>
    </row>
    <row r="141" spans="1:16">
      <c r="C141">
        <v>109</v>
      </c>
      <c r="D141" t="s">
        <v>196</v>
      </c>
      <c r="E141" s="36" t="s">
        <v>44</v>
      </c>
      <c r="F141" s="36">
        <v>80</v>
      </c>
      <c r="G141" s="53" t="s">
        <v>42</v>
      </c>
      <c r="H141" s="36" t="s">
        <v>44</v>
      </c>
    </row>
    <row r="142" spans="1:16">
      <c r="C142">
        <v>110</v>
      </c>
      <c r="D142" t="s">
        <v>198</v>
      </c>
      <c r="E142" s="36" t="s">
        <v>44</v>
      </c>
      <c r="F142" s="36">
        <v>81</v>
      </c>
      <c r="G142" t="s">
        <v>27</v>
      </c>
      <c r="H142" s="36" t="s">
        <v>44</v>
      </c>
    </row>
    <row r="143" spans="1:16">
      <c r="C143">
        <v>111</v>
      </c>
      <c r="D143" t="s">
        <v>197</v>
      </c>
      <c r="E143" s="36" t="s">
        <v>44</v>
      </c>
      <c r="F143" s="36">
        <v>82</v>
      </c>
      <c r="G143" s="54" t="s">
        <v>128</v>
      </c>
      <c r="H143" s="36" t="s">
        <v>44</v>
      </c>
    </row>
    <row r="144" spans="1:16">
      <c r="C144">
        <v>112</v>
      </c>
      <c r="D144" t="s">
        <v>199</v>
      </c>
      <c r="E144" s="36" t="s">
        <v>44</v>
      </c>
      <c r="F144" s="36">
        <v>83</v>
      </c>
      <c r="G144" s="53" t="s">
        <v>142</v>
      </c>
      <c r="H144" s="36" t="s">
        <v>44</v>
      </c>
    </row>
    <row r="145" spans="1:16" s="34" customFormat="1">
      <c r="A145" s="34">
        <v>18</v>
      </c>
      <c r="B145" s="35" t="s">
        <v>43</v>
      </c>
      <c r="C145">
        <v>113</v>
      </c>
      <c r="D145" s="34" t="s">
        <v>200</v>
      </c>
      <c r="E145" s="36" t="s">
        <v>44</v>
      </c>
      <c r="F145" s="36">
        <v>84</v>
      </c>
      <c r="G145" s="35" t="s">
        <v>136</v>
      </c>
      <c r="H145" s="36" t="s">
        <v>44</v>
      </c>
      <c r="I145"/>
      <c r="J145"/>
      <c r="K145"/>
      <c r="L145"/>
      <c r="M145"/>
      <c r="N145"/>
      <c r="O145"/>
      <c r="P145"/>
    </row>
    <row r="146" spans="1:16">
      <c r="C146">
        <v>114</v>
      </c>
      <c r="D146" t="s">
        <v>201</v>
      </c>
      <c r="E146" s="36" t="s">
        <v>44</v>
      </c>
      <c r="F146" s="36">
        <v>85</v>
      </c>
      <c r="G146" t="s">
        <v>27</v>
      </c>
      <c r="H146" s="36" t="s">
        <v>44</v>
      </c>
    </row>
    <row r="147" spans="1:16">
      <c r="C147">
        <v>115</v>
      </c>
      <c r="D147" t="s">
        <v>204</v>
      </c>
      <c r="E147" s="36" t="s">
        <v>44</v>
      </c>
      <c r="F147" s="36">
        <v>86</v>
      </c>
      <c r="G147" t="s">
        <v>143</v>
      </c>
      <c r="H147" s="36" t="s">
        <v>44</v>
      </c>
    </row>
    <row r="148" spans="1:16">
      <c r="C148">
        <v>116</v>
      </c>
      <c r="D148" t="s">
        <v>203</v>
      </c>
      <c r="E148" s="36" t="s">
        <v>44</v>
      </c>
      <c r="F148" s="36">
        <v>87</v>
      </c>
      <c r="G148" t="s">
        <v>31</v>
      </c>
      <c r="H148" s="36" t="s">
        <v>44</v>
      </c>
    </row>
    <row r="149" spans="1:16" s="50" customFormat="1">
      <c r="I149"/>
      <c r="J149"/>
      <c r="K149"/>
      <c r="L149"/>
      <c r="M149"/>
      <c r="N149"/>
      <c r="O149"/>
      <c r="P149"/>
    </row>
    <row r="150" spans="1:16">
      <c r="B150" s="55" t="s">
        <v>275</v>
      </c>
      <c r="C150">
        <v>18</v>
      </c>
      <c r="D150" s="55" t="s">
        <v>273</v>
      </c>
      <c r="E150">
        <f>C148</f>
        <v>116</v>
      </c>
      <c r="G150" s="55" t="s">
        <v>274</v>
      </c>
      <c r="H150">
        <f>F148</f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93E4-EA97-44C3-A821-049E6F080FF4}">
  <dimension ref="A1:F29"/>
  <sheetViews>
    <sheetView workbookViewId="0">
      <pane ySplit="1" topLeftCell="A2" activePane="bottomLeft" state="frozen"/>
      <selection pane="bottomLeft" activeCell="C15" sqref="C15"/>
    </sheetView>
  </sheetViews>
  <sheetFormatPr defaultRowHeight="12"/>
  <cols>
    <col min="1" max="1" width="3" style="42" bestFit="1" customWidth="1"/>
    <col min="2" max="2" width="36.21875" style="42" bestFit="1" customWidth="1"/>
    <col min="3" max="3" width="64.109375" style="45" customWidth="1"/>
    <col min="4" max="4" width="20.77734375" style="45" customWidth="1"/>
    <col min="5" max="5" width="22.88671875" style="45" customWidth="1"/>
    <col min="6" max="6" width="24.77734375" style="45" customWidth="1"/>
    <col min="7" max="16384" width="8.88671875" style="44"/>
  </cols>
  <sheetData>
    <row r="1" spans="1:6" s="43" customFormat="1">
      <c r="A1" s="41" t="s">
        <v>22</v>
      </c>
      <c r="B1" s="41" t="s">
        <v>63</v>
      </c>
      <c r="C1" s="67" t="s">
        <v>64</v>
      </c>
      <c r="D1" s="67" t="s">
        <v>114</v>
      </c>
      <c r="E1" s="67" t="s">
        <v>65</v>
      </c>
      <c r="F1" s="67" t="s">
        <v>118</v>
      </c>
    </row>
    <row r="2" spans="1:6" s="46" customFormat="1" ht="24">
      <c r="A2" s="42">
        <v>1</v>
      </c>
      <c r="B2" s="46" t="s">
        <v>69</v>
      </c>
      <c r="C2" s="47" t="s">
        <v>91</v>
      </c>
      <c r="D2" s="47" t="s">
        <v>115</v>
      </c>
      <c r="E2" s="47" t="s">
        <v>96</v>
      </c>
      <c r="F2" s="47" t="s">
        <v>396</v>
      </c>
    </row>
    <row r="3" spans="1:6" s="48" customFormat="1" ht="24">
      <c r="A3" s="42">
        <v>2</v>
      </c>
      <c r="B3" s="48" t="s">
        <v>70</v>
      </c>
      <c r="C3" s="49" t="s">
        <v>90</v>
      </c>
      <c r="D3" s="49" t="s">
        <v>116</v>
      </c>
      <c r="E3" s="49" t="s">
        <v>97</v>
      </c>
      <c r="F3" s="49"/>
    </row>
    <row r="4" spans="1:6" s="48" customFormat="1" ht="24">
      <c r="A4" s="42">
        <v>3</v>
      </c>
      <c r="B4" s="48" t="s">
        <v>71</v>
      </c>
      <c r="C4" s="49" t="s">
        <v>89</v>
      </c>
      <c r="D4" s="49" t="s">
        <v>116</v>
      </c>
      <c r="E4" s="49" t="s">
        <v>98</v>
      </c>
      <c r="F4" s="49"/>
    </row>
    <row r="5" spans="1:6" s="46" customFormat="1" ht="24">
      <c r="A5" s="42">
        <v>4</v>
      </c>
      <c r="B5" s="46" t="s">
        <v>379</v>
      </c>
      <c r="C5" s="47" t="s">
        <v>88</v>
      </c>
      <c r="D5" s="47" t="s">
        <v>115</v>
      </c>
      <c r="E5" s="47" t="s">
        <v>99</v>
      </c>
      <c r="F5" s="47" t="s">
        <v>397</v>
      </c>
    </row>
    <row r="6" spans="1:6" s="42" customFormat="1">
      <c r="A6" s="42">
        <v>5</v>
      </c>
      <c r="B6" s="63" t="s">
        <v>380</v>
      </c>
      <c r="C6" s="45" t="s">
        <v>389</v>
      </c>
      <c r="D6" s="45" t="s">
        <v>115</v>
      </c>
      <c r="E6" s="45" t="s">
        <v>115</v>
      </c>
      <c r="F6" s="45" t="s">
        <v>398</v>
      </c>
    </row>
    <row r="7" spans="1:6" s="42" customFormat="1" ht="24">
      <c r="A7" s="42">
        <v>6</v>
      </c>
      <c r="B7" s="63" t="s">
        <v>381</v>
      </c>
      <c r="C7" s="45" t="s">
        <v>382</v>
      </c>
      <c r="D7" s="45" t="s">
        <v>115</v>
      </c>
      <c r="E7" s="45" t="s">
        <v>115</v>
      </c>
      <c r="F7" s="45" t="s">
        <v>399</v>
      </c>
    </row>
    <row r="8" spans="1:6" s="42" customFormat="1">
      <c r="A8" s="42">
        <v>7</v>
      </c>
      <c r="B8" s="42" t="s">
        <v>92</v>
      </c>
      <c r="C8" s="45" t="s">
        <v>390</v>
      </c>
      <c r="D8" s="45"/>
      <c r="E8" s="45" t="s">
        <v>100</v>
      </c>
      <c r="F8" s="45"/>
    </row>
    <row r="9" spans="1:6" s="42" customFormat="1" ht="24">
      <c r="A9" s="42">
        <v>8</v>
      </c>
      <c r="B9" s="42" t="s">
        <v>93</v>
      </c>
      <c r="C9" s="45" t="s">
        <v>87</v>
      </c>
      <c r="D9" s="45" t="s">
        <v>119</v>
      </c>
      <c r="E9" s="45" t="s">
        <v>101</v>
      </c>
      <c r="F9" s="45" t="s">
        <v>400</v>
      </c>
    </row>
    <row r="10" spans="1:6" s="42" customFormat="1">
      <c r="A10" s="42">
        <v>9</v>
      </c>
      <c r="B10" s="42" t="s">
        <v>72</v>
      </c>
      <c r="C10" s="45" t="s">
        <v>391</v>
      </c>
      <c r="D10" s="45" t="s">
        <v>119</v>
      </c>
      <c r="E10" s="45" t="s">
        <v>102</v>
      </c>
      <c r="F10" s="45" t="s">
        <v>120</v>
      </c>
    </row>
    <row r="11" spans="1:6" s="48" customFormat="1" ht="24">
      <c r="A11" s="42">
        <v>10</v>
      </c>
      <c r="B11" s="48" t="s">
        <v>73</v>
      </c>
      <c r="C11" s="49" t="s">
        <v>392</v>
      </c>
      <c r="D11" s="49" t="s">
        <v>116</v>
      </c>
      <c r="E11" s="49" t="s">
        <v>103</v>
      </c>
      <c r="F11" s="49"/>
    </row>
    <row r="12" spans="1:6" s="42" customFormat="1" ht="24">
      <c r="A12" s="42">
        <v>11</v>
      </c>
      <c r="B12" s="42" t="s">
        <v>74</v>
      </c>
      <c r="C12" s="45" t="s">
        <v>86</v>
      </c>
      <c r="D12" s="45" t="s">
        <v>119</v>
      </c>
      <c r="E12" s="45" t="s">
        <v>104</v>
      </c>
      <c r="F12" s="45" t="s">
        <v>400</v>
      </c>
    </row>
    <row r="13" spans="1:6" s="48" customFormat="1" ht="13.8" customHeight="1">
      <c r="A13" s="42">
        <v>12</v>
      </c>
      <c r="B13" s="48" t="s">
        <v>75</v>
      </c>
      <c r="C13" s="49" t="s">
        <v>85</v>
      </c>
      <c r="D13" s="49" t="s">
        <v>116</v>
      </c>
      <c r="E13" s="49" t="s">
        <v>105</v>
      </c>
      <c r="F13" s="49"/>
    </row>
    <row r="14" spans="1:6" s="42" customFormat="1">
      <c r="A14" s="42">
        <v>13</v>
      </c>
      <c r="B14" s="63" t="s">
        <v>385</v>
      </c>
      <c r="C14" s="45"/>
      <c r="D14" s="45" t="s">
        <v>116</v>
      </c>
      <c r="E14" s="45"/>
      <c r="F14" s="45" t="s">
        <v>401</v>
      </c>
    </row>
    <row r="15" spans="1:6" s="42" customFormat="1">
      <c r="A15" s="42">
        <v>14</v>
      </c>
      <c r="B15" s="42" t="s">
        <v>386</v>
      </c>
      <c r="C15" s="45"/>
      <c r="D15" s="45" t="s">
        <v>116</v>
      </c>
      <c r="E15" s="45"/>
      <c r="F15" s="45" t="s">
        <v>402</v>
      </c>
    </row>
    <row r="16" spans="1:6" s="42" customFormat="1">
      <c r="A16" s="42">
        <v>15</v>
      </c>
      <c r="B16" s="42" t="s">
        <v>387</v>
      </c>
      <c r="C16" s="45"/>
      <c r="D16" s="45" t="s">
        <v>116</v>
      </c>
      <c r="E16" s="45"/>
      <c r="F16" s="45" t="s">
        <v>403</v>
      </c>
    </row>
    <row r="17" spans="1:6" s="42" customFormat="1" ht="24">
      <c r="A17" s="42">
        <v>16</v>
      </c>
      <c r="B17" s="42" t="s">
        <v>76</v>
      </c>
      <c r="C17" s="45"/>
      <c r="D17" s="45" t="s">
        <v>119</v>
      </c>
      <c r="E17" s="45" t="s">
        <v>106</v>
      </c>
      <c r="F17" s="45" t="s">
        <v>404</v>
      </c>
    </row>
    <row r="18" spans="1:6" s="42" customFormat="1" ht="16.2" customHeight="1">
      <c r="A18" s="42">
        <v>17</v>
      </c>
      <c r="B18" s="42" t="s">
        <v>94</v>
      </c>
      <c r="C18" s="45" t="s">
        <v>393</v>
      </c>
      <c r="D18" s="45"/>
      <c r="E18" s="45" t="s">
        <v>107</v>
      </c>
      <c r="F18" s="45" t="s">
        <v>405</v>
      </c>
    </row>
    <row r="19" spans="1:6" s="42" customFormat="1" ht="15" customHeight="1">
      <c r="A19" s="42">
        <v>18</v>
      </c>
      <c r="B19" s="42" t="s">
        <v>77</v>
      </c>
      <c r="C19" s="45" t="s">
        <v>84</v>
      </c>
      <c r="D19" s="45" t="s">
        <v>117</v>
      </c>
      <c r="E19" s="45" t="s">
        <v>108</v>
      </c>
      <c r="F19" s="45" t="s">
        <v>405</v>
      </c>
    </row>
    <row r="20" spans="1:6" s="42" customFormat="1">
      <c r="A20" s="42">
        <v>19</v>
      </c>
      <c r="B20" s="42" t="s">
        <v>78</v>
      </c>
      <c r="C20" s="45" t="s">
        <v>83</v>
      </c>
      <c r="D20" s="45"/>
      <c r="E20" s="45" t="s">
        <v>109</v>
      </c>
      <c r="F20" s="45"/>
    </row>
    <row r="21" spans="1:6" s="42" customFormat="1">
      <c r="A21" s="42">
        <v>20</v>
      </c>
      <c r="B21" s="42" t="s">
        <v>79</v>
      </c>
      <c r="C21" s="45" t="s">
        <v>82</v>
      </c>
      <c r="D21" s="45"/>
      <c r="E21" s="45" t="s">
        <v>110</v>
      </c>
      <c r="F21" s="45"/>
    </row>
    <row r="22" spans="1:6" s="48" customFormat="1" ht="24">
      <c r="A22" s="42">
        <v>21</v>
      </c>
      <c r="B22" s="48" t="s">
        <v>80</v>
      </c>
      <c r="C22" s="49" t="s">
        <v>394</v>
      </c>
      <c r="D22" s="49" t="s">
        <v>116</v>
      </c>
      <c r="E22" s="49" t="s">
        <v>111</v>
      </c>
      <c r="F22" s="49"/>
    </row>
    <row r="23" spans="1:6" s="42" customFormat="1" ht="24">
      <c r="A23" s="42">
        <v>22</v>
      </c>
      <c r="B23" s="42" t="s">
        <v>68</v>
      </c>
      <c r="C23" s="45" t="s">
        <v>81</v>
      </c>
      <c r="D23" s="45"/>
      <c r="E23" s="45" t="s">
        <v>112</v>
      </c>
      <c r="F23" s="45"/>
    </row>
    <row r="24" spans="1:6" s="42" customFormat="1" ht="13.2" customHeight="1">
      <c r="A24" s="42">
        <v>23</v>
      </c>
      <c r="B24" s="63" t="s">
        <v>366</v>
      </c>
      <c r="C24" s="45" t="s">
        <v>95</v>
      </c>
      <c r="D24" s="45"/>
      <c r="E24" s="45" t="s">
        <v>113</v>
      </c>
      <c r="F24" s="45"/>
    </row>
    <row r="25" spans="1:6" s="42" customFormat="1" ht="16.2" customHeight="1">
      <c r="A25" s="42">
        <v>24</v>
      </c>
      <c r="B25" s="42" t="s">
        <v>352</v>
      </c>
      <c r="C25" s="45" t="s">
        <v>388</v>
      </c>
      <c r="D25" s="45" t="s">
        <v>117</v>
      </c>
      <c r="E25" s="45" t="s">
        <v>108</v>
      </c>
      <c r="F25" s="45" t="s">
        <v>406</v>
      </c>
    </row>
    <row r="26" spans="1:6" s="42" customFormat="1">
      <c r="A26" s="42">
        <v>25</v>
      </c>
      <c r="B26" s="42" t="s">
        <v>358</v>
      </c>
      <c r="C26" s="45"/>
      <c r="D26" s="45" t="s">
        <v>359</v>
      </c>
      <c r="E26" s="45"/>
      <c r="F26" s="45" t="s">
        <v>407</v>
      </c>
    </row>
    <row r="27" spans="1:6" s="42" customFormat="1">
      <c r="A27" s="42">
        <v>26</v>
      </c>
      <c r="B27" s="42" t="s">
        <v>365</v>
      </c>
      <c r="C27" s="45"/>
      <c r="D27" s="45"/>
      <c r="E27" s="45"/>
      <c r="F27" s="45" t="s">
        <v>408</v>
      </c>
    </row>
    <row r="28" spans="1:6" s="42" customFormat="1" ht="24">
      <c r="A28" s="42">
        <v>27</v>
      </c>
      <c r="B28" s="42" t="s">
        <v>395</v>
      </c>
      <c r="C28" s="45"/>
      <c r="D28" s="45"/>
      <c r="E28" s="45"/>
      <c r="F28" s="45" t="s">
        <v>409</v>
      </c>
    </row>
    <row r="29" spans="1:6" s="42" customFormat="1">
      <c r="B29" s="57" t="s">
        <v>276</v>
      </c>
      <c r="C29" s="68">
        <f>A28</f>
        <v>27</v>
      </c>
      <c r="D29" s="45"/>
      <c r="E29" s="45"/>
      <c r="F29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E075-529B-47C7-B8E5-270C9259D479}">
  <dimension ref="A1:I19"/>
  <sheetViews>
    <sheetView workbookViewId="0">
      <selection activeCell="F8" sqref="F8"/>
    </sheetView>
  </sheetViews>
  <sheetFormatPr defaultRowHeight="14.4"/>
  <cols>
    <col min="1" max="1" width="13.5546875" bestFit="1" customWidth="1"/>
    <col min="2" max="2" width="20.77734375" bestFit="1" customWidth="1"/>
    <col min="3" max="3" width="26.88671875" bestFit="1" customWidth="1"/>
    <col min="4" max="4" width="10.88671875" bestFit="1" customWidth="1"/>
    <col min="6" max="6" width="12.109375" bestFit="1" customWidth="1"/>
    <col min="7" max="7" width="14.21875" bestFit="1" customWidth="1"/>
    <col min="8" max="8" width="24.33203125" bestFit="1" customWidth="1"/>
    <col min="9" max="9" width="16.21875" bestFit="1" customWidth="1"/>
  </cols>
  <sheetData>
    <row r="1" spans="1:9" s="58" customFormat="1">
      <c r="A1" s="58" t="s">
        <v>287</v>
      </c>
      <c r="B1" s="58" t="s">
        <v>286</v>
      </c>
      <c r="C1" s="58" t="s">
        <v>288</v>
      </c>
      <c r="D1" s="58" t="s">
        <v>289</v>
      </c>
      <c r="E1" s="58" t="s">
        <v>290</v>
      </c>
      <c r="F1" s="58" t="s">
        <v>285</v>
      </c>
      <c r="G1" s="58" t="s">
        <v>307</v>
      </c>
      <c r="H1" s="58" t="s">
        <v>308</v>
      </c>
      <c r="I1" s="58" t="s">
        <v>291</v>
      </c>
    </row>
    <row r="2" spans="1:9">
      <c r="A2">
        <v>1</v>
      </c>
      <c r="B2" t="s">
        <v>292</v>
      </c>
      <c r="C2" t="s">
        <v>297</v>
      </c>
      <c r="D2">
        <v>4.5</v>
      </c>
      <c r="E2" t="s">
        <v>306</v>
      </c>
      <c r="F2">
        <v>300</v>
      </c>
      <c r="G2" t="b">
        <v>0</v>
      </c>
      <c r="H2" t="s">
        <v>309</v>
      </c>
      <c r="I2" t="s">
        <v>310</v>
      </c>
    </row>
    <row r="3" spans="1:9">
      <c r="A3">
        <v>2</v>
      </c>
      <c r="B3" t="s">
        <v>293</v>
      </c>
      <c r="C3" t="s">
        <v>294</v>
      </c>
      <c r="D3">
        <v>1.5</v>
      </c>
      <c r="E3" t="s">
        <v>306</v>
      </c>
      <c r="F3">
        <v>3600</v>
      </c>
      <c r="G3" t="b">
        <v>0</v>
      </c>
      <c r="H3" t="s">
        <v>309</v>
      </c>
      <c r="I3" t="s">
        <v>312</v>
      </c>
    </row>
    <row r="4" spans="1:9">
      <c r="A4">
        <v>3</v>
      </c>
      <c r="B4" t="s">
        <v>296</v>
      </c>
      <c r="C4" t="s">
        <v>295</v>
      </c>
      <c r="D4">
        <v>0</v>
      </c>
      <c r="E4" t="s">
        <v>306</v>
      </c>
      <c r="F4">
        <v>4000</v>
      </c>
      <c r="G4" t="b">
        <v>0</v>
      </c>
      <c r="H4" t="s">
        <v>309</v>
      </c>
      <c r="I4" t="s">
        <v>310</v>
      </c>
    </row>
    <row r="5" spans="1:9">
      <c r="A5">
        <v>4</v>
      </c>
      <c r="B5" t="s">
        <v>316</v>
      </c>
      <c r="C5" t="s">
        <v>326</v>
      </c>
      <c r="D5" t="s">
        <v>317</v>
      </c>
      <c r="E5" t="s">
        <v>306</v>
      </c>
      <c r="F5" t="s">
        <v>318</v>
      </c>
      <c r="G5" t="b">
        <v>1</v>
      </c>
      <c r="H5" t="s">
        <v>319</v>
      </c>
      <c r="I5" t="s">
        <v>320</v>
      </c>
    </row>
    <row r="6" spans="1:9">
      <c r="A6">
        <v>5</v>
      </c>
      <c r="B6" t="s">
        <v>322</v>
      </c>
      <c r="C6" t="s">
        <v>321</v>
      </c>
      <c r="D6">
        <v>0</v>
      </c>
      <c r="E6" t="s">
        <v>306</v>
      </c>
      <c r="F6">
        <v>28800</v>
      </c>
      <c r="G6" t="b">
        <v>0</v>
      </c>
      <c r="H6" t="s">
        <v>319</v>
      </c>
      <c r="I6" t="s">
        <v>310</v>
      </c>
    </row>
    <row r="7" spans="1:9">
      <c r="A7">
        <v>6</v>
      </c>
      <c r="B7" t="s">
        <v>354</v>
      </c>
      <c r="C7" t="s">
        <v>353</v>
      </c>
      <c r="D7">
        <v>4</v>
      </c>
      <c r="F7">
        <v>1800</v>
      </c>
      <c r="G7" t="b">
        <v>0</v>
      </c>
      <c r="H7" t="s">
        <v>309</v>
      </c>
      <c r="I7" t="s">
        <v>310</v>
      </c>
    </row>
    <row r="8" spans="1:9">
      <c r="C8" t="s">
        <v>357</v>
      </c>
      <c r="D8">
        <v>2</v>
      </c>
      <c r="E8" t="s">
        <v>306</v>
      </c>
      <c r="G8" t="b">
        <v>1</v>
      </c>
    </row>
    <row r="10" spans="1:9" s="58" customFormat="1">
      <c r="A10" s="58" t="s">
        <v>298</v>
      </c>
      <c r="B10" s="58" t="s">
        <v>286</v>
      </c>
      <c r="C10" s="58" t="s">
        <v>288</v>
      </c>
      <c r="D10" s="58" t="s">
        <v>289</v>
      </c>
      <c r="E10" s="58" t="s">
        <v>290</v>
      </c>
      <c r="F10" s="58" t="s">
        <v>285</v>
      </c>
      <c r="I10" s="58" t="s">
        <v>291</v>
      </c>
    </row>
    <row r="11" spans="1:9">
      <c r="A11">
        <v>1</v>
      </c>
      <c r="B11" t="s">
        <v>300</v>
      </c>
      <c r="C11" t="s">
        <v>313</v>
      </c>
      <c r="D11">
        <v>5.5</v>
      </c>
      <c r="E11" t="s">
        <v>306</v>
      </c>
      <c r="F11">
        <v>280</v>
      </c>
      <c r="G11" t="b">
        <v>0</v>
      </c>
      <c r="H11" t="s">
        <v>309</v>
      </c>
      <c r="I11" t="s">
        <v>310</v>
      </c>
    </row>
    <row r="12" spans="1:9">
      <c r="B12" t="s">
        <v>301</v>
      </c>
      <c r="C12" t="s">
        <v>314</v>
      </c>
      <c r="D12">
        <v>1.8</v>
      </c>
      <c r="E12" t="s">
        <v>306</v>
      </c>
      <c r="F12">
        <v>3600</v>
      </c>
      <c r="G12" t="b">
        <v>0</v>
      </c>
      <c r="H12" t="s">
        <v>309</v>
      </c>
      <c r="I12" t="s">
        <v>312</v>
      </c>
    </row>
    <row r="13" spans="1:9">
      <c r="B13" t="s">
        <v>302</v>
      </c>
      <c r="C13" t="s">
        <v>315</v>
      </c>
      <c r="D13">
        <v>0</v>
      </c>
      <c r="E13" t="s">
        <v>306</v>
      </c>
      <c r="F13">
        <v>4000</v>
      </c>
      <c r="G13" t="b">
        <v>0</v>
      </c>
      <c r="H13" t="s">
        <v>309</v>
      </c>
      <c r="I13" t="s">
        <v>310</v>
      </c>
    </row>
    <row r="14" spans="1:9">
      <c r="B14" t="s">
        <v>323</v>
      </c>
      <c r="C14" t="s">
        <v>325</v>
      </c>
      <c r="D14">
        <v>1</v>
      </c>
      <c r="E14" t="s">
        <v>306</v>
      </c>
      <c r="F14">
        <v>100</v>
      </c>
      <c r="G14" t="b">
        <v>1</v>
      </c>
      <c r="H14" t="s">
        <v>324</v>
      </c>
      <c r="I14" t="s">
        <v>312</v>
      </c>
    </row>
    <row r="16" spans="1:9" s="58" customFormat="1">
      <c r="A16" s="58" t="s">
        <v>299</v>
      </c>
      <c r="B16" s="58" t="s">
        <v>286</v>
      </c>
      <c r="C16" s="58" t="s">
        <v>288</v>
      </c>
      <c r="D16" s="58" t="s">
        <v>289</v>
      </c>
      <c r="E16" s="58" t="s">
        <v>290</v>
      </c>
      <c r="F16" s="58" t="s">
        <v>285</v>
      </c>
      <c r="I16" s="58" t="s">
        <v>291</v>
      </c>
    </row>
    <row r="17" spans="2:9">
      <c r="B17" t="s">
        <v>303</v>
      </c>
      <c r="C17" t="s">
        <v>313</v>
      </c>
      <c r="D17">
        <v>2.5</v>
      </c>
      <c r="E17" t="s">
        <v>306</v>
      </c>
      <c r="F17">
        <v>120</v>
      </c>
      <c r="G17" t="b">
        <v>0</v>
      </c>
      <c r="H17" t="s">
        <v>309</v>
      </c>
      <c r="I17" t="s">
        <v>310</v>
      </c>
    </row>
    <row r="18" spans="2:9">
      <c r="B18" t="s">
        <v>304</v>
      </c>
      <c r="C18" t="s">
        <v>314</v>
      </c>
      <c r="D18">
        <v>1.2</v>
      </c>
      <c r="E18" t="s">
        <v>306</v>
      </c>
      <c r="F18">
        <v>7200</v>
      </c>
      <c r="G18" t="b">
        <v>0</v>
      </c>
      <c r="H18" t="s">
        <v>309</v>
      </c>
      <c r="I18" t="s">
        <v>312</v>
      </c>
    </row>
    <row r="19" spans="2:9">
      <c r="B19" t="s">
        <v>305</v>
      </c>
      <c r="C19" t="s">
        <v>315</v>
      </c>
      <c r="D19">
        <v>0</v>
      </c>
      <c r="E19" t="s">
        <v>306</v>
      </c>
      <c r="F19">
        <v>28800</v>
      </c>
      <c r="G19" t="b">
        <v>0</v>
      </c>
      <c r="H19" t="s">
        <v>309</v>
      </c>
      <c r="I1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8E04-A652-4B2C-95F2-79A22FA0872A}">
  <dimension ref="A1:B3"/>
  <sheetViews>
    <sheetView workbookViewId="0">
      <selection sqref="A1:XFD1"/>
    </sheetView>
  </sheetViews>
  <sheetFormatPr defaultRowHeight="14.4"/>
  <cols>
    <col min="1" max="1" width="26.33203125" bestFit="1" customWidth="1"/>
  </cols>
  <sheetData>
    <row r="1" spans="1:2" s="2" customFormat="1">
      <c r="A1" s="2" t="s">
        <v>360</v>
      </c>
      <c r="B1" s="2" t="s">
        <v>329</v>
      </c>
    </row>
    <row r="2" spans="1:2">
      <c r="A2" t="s">
        <v>361</v>
      </c>
    </row>
    <row r="3" spans="1:2">
      <c r="A3" t="s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2F42-3519-409C-AAA3-540191E09A6A}">
  <dimension ref="A1:F2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/>
  <cols>
    <col min="1" max="1" width="6.109375" bestFit="1" customWidth="1"/>
    <col min="2" max="2" width="38" bestFit="1" customWidth="1"/>
    <col min="3" max="3" width="33.33203125" bestFit="1" customWidth="1"/>
    <col min="4" max="4" width="13.33203125" customWidth="1"/>
    <col min="5" max="5" width="6.5546875" bestFit="1" customWidth="1"/>
    <col min="6" max="6" width="22.109375" bestFit="1" customWidth="1"/>
  </cols>
  <sheetData>
    <row r="1" spans="1:6" s="59" customFormat="1">
      <c r="A1" s="59" t="s">
        <v>287</v>
      </c>
      <c r="B1" s="59" t="s">
        <v>331</v>
      </c>
      <c r="C1" s="59" t="s">
        <v>342</v>
      </c>
      <c r="D1" s="59" t="s">
        <v>372</v>
      </c>
      <c r="E1" s="59" t="s">
        <v>333</v>
      </c>
    </row>
    <row r="2" spans="1:6" s="53" customFormat="1" ht="72">
      <c r="A2">
        <v>1</v>
      </c>
      <c r="B2" s="60" t="s">
        <v>330</v>
      </c>
      <c r="C2" s="60" t="s">
        <v>335</v>
      </c>
      <c r="D2" s="37" t="s">
        <v>378</v>
      </c>
      <c r="E2" s="36"/>
    </row>
    <row r="3" spans="1:6" s="60" customFormat="1" ht="72">
      <c r="A3" s="60">
        <v>2</v>
      </c>
      <c r="B3" s="60" t="s">
        <v>332</v>
      </c>
      <c r="C3" s="60" t="s">
        <v>334</v>
      </c>
      <c r="D3" s="61" t="s">
        <v>411</v>
      </c>
      <c r="E3" s="64"/>
    </row>
    <row r="4" spans="1:6" s="60" customFormat="1" ht="72">
      <c r="B4" s="60" t="s">
        <v>355</v>
      </c>
      <c r="C4" s="60" t="s">
        <v>356</v>
      </c>
      <c r="D4" s="61" t="s">
        <v>411</v>
      </c>
      <c r="E4" s="64"/>
    </row>
    <row r="5" spans="1:6" s="3" customFormat="1">
      <c r="A5" s="3">
        <v>3</v>
      </c>
      <c r="B5" s="3" t="s">
        <v>364</v>
      </c>
      <c r="C5" s="3" t="s">
        <v>336</v>
      </c>
      <c r="D5" s="3" t="s">
        <v>369</v>
      </c>
      <c r="E5" s="66"/>
    </row>
    <row r="6" spans="1:6" ht="72">
      <c r="A6" s="60">
        <v>4</v>
      </c>
      <c r="B6" s="60" t="s">
        <v>337</v>
      </c>
      <c r="C6" s="37" t="s">
        <v>367</v>
      </c>
      <c r="D6" s="61" t="s">
        <v>412</v>
      </c>
    </row>
    <row r="7" spans="1:6" s="60" customFormat="1" ht="72">
      <c r="A7" s="60">
        <v>5</v>
      </c>
      <c r="B7" s="60" t="s">
        <v>338</v>
      </c>
      <c r="C7" s="61" t="s">
        <v>340</v>
      </c>
      <c r="D7" s="61" t="s">
        <v>413</v>
      </c>
    </row>
    <row r="8" spans="1:6" ht="72">
      <c r="A8">
        <v>6</v>
      </c>
      <c r="B8" s="60" t="s">
        <v>339</v>
      </c>
      <c r="C8" s="60" t="s">
        <v>284</v>
      </c>
      <c r="D8" s="37" t="s">
        <v>412</v>
      </c>
    </row>
    <row r="9" spans="1:6" s="62" customFormat="1" ht="57.6">
      <c r="A9" s="60">
        <v>7</v>
      </c>
      <c r="B9" s="62" t="s">
        <v>338</v>
      </c>
      <c r="C9" s="62" t="s">
        <v>340</v>
      </c>
      <c r="D9" s="65" t="s">
        <v>414</v>
      </c>
      <c r="F9" s="62" t="s">
        <v>368</v>
      </c>
    </row>
    <row r="10" spans="1:6">
      <c r="A10">
        <v>8</v>
      </c>
      <c r="B10" s="60" t="s">
        <v>341</v>
      </c>
      <c r="C10" t="s">
        <v>345</v>
      </c>
      <c r="D10" t="s">
        <v>370</v>
      </c>
    </row>
    <row r="11" spans="1:6">
      <c r="A11">
        <v>9</v>
      </c>
      <c r="B11" t="s">
        <v>343</v>
      </c>
      <c r="C11" t="s">
        <v>344</v>
      </c>
      <c r="D11" t="s">
        <v>371</v>
      </c>
    </row>
    <row r="12" spans="1:6">
      <c r="A12">
        <v>10</v>
      </c>
      <c r="B12" s="60" t="s">
        <v>363</v>
      </c>
      <c r="D12" t="s">
        <v>371</v>
      </c>
    </row>
    <row r="13" spans="1:6" s="62" customFormat="1" ht="72">
      <c r="A13" s="60">
        <v>11</v>
      </c>
      <c r="B13" s="62" t="s">
        <v>337</v>
      </c>
      <c r="C13" s="61" t="s">
        <v>410</v>
      </c>
      <c r="D13" s="61" t="s">
        <v>413</v>
      </c>
      <c r="F13" s="62" t="s">
        <v>368</v>
      </c>
    </row>
    <row r="14" spans="1:6">
      <c r="A14">
        <v>12</v>
      </c>
      <c r="B14" t="s">
        <v>330</v>
      </c>
      <c r="C14" t="s">
        <v>335</v>
      </c>
      <c r="D14" t="s">
        <v>373</v>
      </c>
      <c r="E14" s="36"/>
      <c r="F14" t="s">
        <v>368</v>
      </c>
    </row>
    <row r="15" spans="1:6">
      <c r="A15">
        <v>13</v>
      </c>
    </row>
    <row r="16" spans="1:6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SWRL</vt:lpstr>
      <vt:lpstr>BaseLines</vt:lpstr>
      <vt:lpstr>Master DataLoads</vt:lpstr>
      <vt:lpstr>LoadData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2015-06-05T18:17:20Z</dcterms:created>
  <dcterms:modified xsi:type="dcterms:W3CDTF">2026-03-24T16:36:36Z</dcterms:modified>
</cp:coreProperties>
</file>